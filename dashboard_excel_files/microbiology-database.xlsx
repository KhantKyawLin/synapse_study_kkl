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ogen Database" sheetId="1" state="visible" r:id="rId1"/>
  </sheets>
  <definedNames>
    <definedName name="_xlnm._FilterDatabase" localSheetId="0" hidden="1">'Pathogen Database'!$A$3:$H$79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000000"/>
      <sz val="10"/>
    </font>
    <font>
      <name val="Calibri"/>
      <b val="1"/>
      <color rgb="001F497D"/>
      <sz val="11"/>
    </font>
  </fonts>
  <fills count="10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F5496"/>
        <bgColor rgb="002F5496"/>
      </patternFill>
    </fill>
    <fill>
      <patternFill patternType="solid">
        <fgColor rgb="00366092"/>
        <bgColor rgb="00366092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4F81BD"/>
        <bgColor rgb="004F81BD"/>
      </patternFill>
    </fill>
    <fill>
      <patternFill patternType="solid">
        <fgColor rgb="00F9FBFD"/>
        <bgColor rgb="00F9FBFD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bottom style="medium">
        <color rgb="002F5496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indent="1"/>
    </xf>
    <xf numFmtId="0" fontId="7" fillId="8" borderId="2" applyAlignment="1" pivotButton="0" quotePrefix="0" xfId="0">
      <alignment horizontal="left" vertical="center" indent="1"/>
    </xf>
    <xf numFmtId="0" fontId="8" fillId="9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center" vertical="top" wrapText="1"/>
    </xf>
    <xf numFmtId="0" fontId="6" fillId="5" borderId="2" applyAlignment="1" pivotButton="0" quotePrefix="0" xfId="0">
      <alignment horizontal="left" vertical="top" wrapText="1"/>
    </xf>
    <xf numFmtId="0" fontId="5" fillId="6" borderId="2" applyAlignment="1" pivotButton="0" quotePrefix="0" xfId="0">
      <alignment horizontal="left" vertical="top" wrapText="1"/>
    </xf>
    <xf numFmtId="0" fontId="6" fillId="6" borderId="2" applyAlignment="1" pivotButton="0" quotePrefix="0" xfId="0">
      <alignment horizontal="center" vertical="top" wrapText="1"/>
    </xf>
    <xf numFmtId="0" fontId="6" fillId="6" borderId="2" applyAlignment="1" pivotButton="0" quotePrefix="0" xfId="0">
      <alignment horizontal="left" vertical="top" wrapText="1"/>
    </xf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38" customWidth="1" min="3" max="3"/>
    <col width="32" customWidth="1" min="4" max="4"/>
    <col width="30" customWidth="1" min="5" max="5"/>
    <col width="42" customWidth="1" min="6" max="6"/>
    <col width="42" customWidth="1" min="7" max="7"/>
    <col width="38" customWidth="1" min="8" max="8"/>
    <col width="3" customWidth="1" min="9" max="9"/>
    <col width="18" customWidth="1" min="10" max="10"/>
    <col width="12" customWidth="1" min="11" max="11"/>
  </cols>
  <sheetData>
    <row r="1" ht="40" customHeight="1">
      <c r="A1" s="1" t="inlineStr">
        <is>
          <t>Comprehensive Pathogenic Microorganisms Database</t>
        </is>
      </c>
    </row>
    <row r="2" ht="20" customHeight="1">
      <c r="A2" s="2" t="inlineStr">
        <is>
          <t>Generated August 2026 | Version 1.1 | Grounded in Course Lecture Notes, Study Guides, and Question Banks</t>
        </is>
      </c>
    </row>
    <row r="3" ht="28" customHeight="1">
      <c r="A3" s="3" t="inlineStr">
        <is>
          <t>Name</t>
        </is>
      </c>
      <c r="B3" s="3" t="inlineStr">
        <is>
          <t>Tag</t>
        </is>
      </c>
      <c r="C3" s="3" t="inlineStr">
        <is>
          <t>Morphology</t>
        </is>
      </c>
      <c r="D3" s="3" t="inlineStr">
        <is>
          <t>Culture</t>
        </is>
      </c>
      <c r="E3" s="3" t="inlineStr">
        <is>
          <t>Resistance</t>
        </is>
      </c>
      <c r="F3" s="3" t="inlineStr">
        <is>
          <t>Pathogenesis</t>
        </is>
      </c>
      <c r="G3" s="3" t="inlineStr">
        <is>
          <t>Clinical Findings</t>
        </is>
      </c>
      <c r="H3" s="3" t="inlineStr">
        <is>
          <t>Treatment &amp; Prevention</t>
        </is>
      </c>
      <c r="J3" s="4" t="inlineStr">
        <is>
          <t>DATABASE METRICS</t>
        </is>
      </c>
    </row>
    <row r="4" ht="20" customHeight="1">
      <c r="A4" s="5" t="inlineStr">
        <is>
          <t>GRAM-POSITIVE COCCI</t>
        </is>
      </c>
      <c r="J4" s="6" t="inlineStr">
        <is>
          <t>Total Bacteria</t>
        </is>
      </c>
      <c r="K4" s="7">
        <f>COUNTIF(B4:B79, "*Coccus*") + COUNTIF(B4:B79, "*Bacillus*") + COUNTIF(B4:B79, "*Vibrio*") + COUNTIF(B4:B79, "*Acid-Fast*") + COUNTIF(B4:B79, "*No Cell Wall*") + COUNTIF(B4:B79, "*Intracellular*") + COUNTIF(B4:B79, "*Spirochete*")</f>
        <v/>
      </c>
    </row>
    <row r="5" ht="20" customHeight="1">
      <c r="A5" s="8" t="inlineStr">
        <is>
          <t>Staphylococcus aureus</t>
        </is>
      </c>
      <c r="B5" s="9" t="inlineStr">
        <is>
          <t>G+ Coccus</t>
        </is>
      </c>
      <c r="C5" s="10" t="inlineStr">
        <is>
          <t>G+ spherical cells, grape-like clusters, non-motile, non-spore.</t>
        </is>
      </c>
      <c r="D5" s="10" t="inlineStr">
        <is>
          <t>Aerobic/facultative anaerobe; smooth, convex colonies with golden (or white/lemon) pigment. Decomposes mannitol.</t>
        </is>
      </c>
      <c r="E5" s="10" t="inlineStr">
        <is>
          <t>Strongest among non-spore bacteria; high salt tolerance (7.5% NaCl); resistant to drying; 90% penicillin-resistant.</t>
        </is>
      </c>
      <c r="F5" s="10" t="inlineStr">
        <is>
          <t>Coagulase (clots plasma, limits lesions), SPA (binds Fc of IgG, anti-phagocytic), toxins (staphylolysin, leukocidin, exfoliative toxin, TSST-1, enterotoxin).</t>
        </is>
      </c>
      <c r="G5" s="10" t="inlineStr">
        <is>
          <t>Local pyogenic infections (furuncle, carbuncle, wound infection), systemic infections (bacteremia, osteomyelitis), toxin-mediated diseases (SSSS, TSS, food poisoning).</t>
        </is>
      </c>
      <c r="H5" s="10" t="inlineStr">
        <is>
          <t>Hygiene, drug sensitivity testing, penicillin-resistant penicillins (e.g., oxacillin) or vancomycin for MRSA.</t>
        </is>
      </c>
      <c r="J5" s="6" t="inlineStr">
        <is>
          <t>Total Viruses</t>
        </is>
      </c>
      <c r="K5" s="7">
        <f>COUNTIF(B4:B79, "*Virus*") + COUNTIF(B4:B79, "*Retrovirus*")</f>
        <v/>
      </c>
    </row>
    <row r="6" ht="20" customHeight="1">
      <c r="A6" s="11" t="inlineStr">
        <is>
          <t>Streptococcus pyogenes (Group A)</t>
        </is>
      </c>
      <c r="B6" s="12" t="inlineStr">
        <is>
          <t>G+ Coccus</t>
        </is>
      </c>
      <c r="C6" s="13" t="inlineStr">
        <is>
          <t>G+ spherical cells, arranged in chains, capsulated in young cultures.</t>
        </is>
      </c>
      <c r="D6" s="13" t="inlineStr">
        <is>
          <t>Facultative anaerobe, requires enriched media (blood agar); forms small colonies with a large zone of complete beta-hemolysis.</t>
        </is>
      </c>
      <c r="E6" s="13" t="inlineStr">
        <is>
          <t>Weak; sensitive to normal disinfectants, heat, penicillin, and erythromycin.</t>
        </is>
      </c>
      <c r="F6" s="13" t="inlineStr">
        <is>
          <t>M protein (anti-phagocytic, cross-reacts with host tissue), lipoteichoic acid (adhesion), streptolysins (O &amp; S), SK (streptokinase), SD (streptodornase), pyrogenic exotoxin (scarlet fever).</t>
        </is>
      </c>
      <c r="G6" s="13" t="inlineStr">
        <is>
          <t>Pyogenic infections (sore throat, tonsillitis, pyoderma, erysipelas, childbed fever), toxigenic diseases (scarlet fever), hypersensitivity diseases (acute glomerulonephritis, rheumatic fever).</t>
        </is>
      </c>
      <c r="H6" s="13" t="inlineStr">
        <is>
          <t>Penicillin G is the absolute first choice; timely treatment of primary sore throat infection to prevent rheumatic fever.</t>
        </is>
      </c>
      <c r="J6" s="6" t="inlineStr">
        <is>
          <t>Total Fungi</t>
        </is>
      </c>
      <c r="K6" s="7">
        <f>COUNTIF(B4:B79, "*Fungus*")</f>
        <v/>
      </c>
    </row>
    <row r="7" ht="20" customHeight="1">
      <c r="A7" s="8" t="inlineStr">
        <is>
          <t>Streptococcus pneumoniae (Pneumococcus)</t>
        </is>
      </c>
      <c r="B7" s="9" t="inlineStr">
        <is>
          <t>G+ Coccus</t>
        </is>
      </c>
      <c r="C7" s="10" t="inlineStr">
        <is>
          <t>G+ encapsulated lancet-shaped diplococcus in pairs.</t>
        </is>
      </c>
      <c r="D7" s="10" t="inlineStr">
        <is>
          <t>Requires blood or serum; aerobic/facultative; displays alpha-hemolysis (green zone) on blood agar. Bile soluble (differentiates from S. viridans).</t>
        </is>
      </c>
      <c r="E7" s="10" t="inlineStr">
        <is>
          <t>Weak, highly sensitive to common disinfectants, heat, and optochin.</t>
        </is>
      </c>
      <c r="F7" s="10" t="inlineStr">
        <is>
          <t>Capsule (main invasive power, inhibits phagocytosis), pneumolysin, neuraminidase.</t>
        </is>
      </c>
      <c r="G7" s="10" t="inlineStr">
        <is>
          <t>Lobar pneumonia (sharp pain, chills, fever, rusty sputum), meningitis, otitis media.</t>
        </is>
      </c>
      <c r="H7" s="10" t="inlineStr">
        <is>
          <t>Penicillin G, cephalosporins. Pneumococcal capsular polysaccharide vaccine available for high-risk individuals.</t>
        </is>
      </c>
      <c r="J7" s="6" t="inlineStr">
        <is>
          <t>Total Parasites</t>
        </is>
      </c>
      <c r="K7" s="7">
        <f>COUNTIF(B4:B79, "*Protozoa*")</f>
        <v/>
      </c>
    </row>
    <row r="8" ht="20" customHeight="1">
      <c r="A8" s="14" t="n"/>
      <c r="B8" s="14" t="n"/>
      <c r="C8" s="14" t="n"/>
      <c r="D8" s="14" t="n"/>
      <c r="E8" s="14" t="n"/>
      <c r="F8" s="14" t="n"/>
      <c r="G8" s="14" t="n"/>
      <c r="H8" s="14" t="n"/>
      <c r="J8" s="6" t="inlineStr">
        <is>
          <t>Total Pathogens</t>
        </is>
      </c>
      <c r="K8" s="7">
        <f>COUNTA(B4:B79)</f>
        <v/>
      </c>
    </row>
    <row r="9" ht="24" customHeight="1">
      <c r="A9" s="5" t="inlineStr">
        <is>
          <t>GRAM-NEGATIVE COCCI</t>
        </is>
      </c>
    </row>
    <row r="10" ht="45" customHeight="1">
      <c r="A10" s="8" t="inlineStr">
        <is>
          <t>Neisseria meningitidis (Meningococcus)</t>
        </is>
      </c>
      <c r="B10" s="9" t="inlineStr">
        <is>
          <t>G- Coccus</t>
        </is>
      </c>
      <c r="C10" s="10" t="inlineStr">
        <is>
          <t>G- coffee bean or kidney-shaped diplococcus in pairs, possesses capsules and pili.</t>
        </is>
      </c>
      <c r="D10" s="10" t="inlineStr">
        <is>
          <t>Aerobic; chocolate agar under 5%-10% CO2; autolytic enzymes make old cultures lyse quickly.</t>
        </is>
      </c>
      <c r="E10" s="10" t="inlineStr">
        <is>
          <t>Very low; sensitive to cold, heat, drying, and disinfectants.</t>
        </is>
      </c>
      <c r="F10" s="10" t="inlineStr">
        <is>
          <t>Capsule, pili (adhesion), strong Endotoxin (LPS, damages blood vessels, causes petechiae), IgA1 protease.</t>
        </is>
      </c>
      <c r="G10" s="10" t="inlineStr">
        <is>
          <t>Epidemic cerebrospinal meningitis (fever, headache, neck stiffness, skin petechiae, hemorrhagic rash).</t>
        </is>
      </c>
      <c r="H10" s="10" t="inlineStr">
        <is>
          <t>Penicillin G, ceftriaxone. Group-specific capsular polysaccharide vaccine used for prevention.</t>
        </is>
      </c>
    </row>
    <row r="11" ht="75" customHeight="1">
      <c r="A11" s="11" t="inlineStr">
        <is>
          <t>Neisseria gonorrhoeae (Gonococcus)</t>
        </is>
      </c>
      <c r="B11" s="12" t="inlineStr">
        <is>
          <t>G- Coccus</t>
        </is>
      </c>
      <c r="C11" s="13" t="inlineStr">
        <is>
          <t>G- kidney-shaped diplococcus, coffee bean-shaped, typically found inside polymorphonuclear leukocytes (PMNs) in acute pus.</t>
        </is>
      </c>
      <c r="D11" s="13" t="inlineStr">
        <is>
          <t>Aerobic; chocolate agar or Thayer-Martin medium under 5%-10% CO2.</t>
        </is>
      </c>
      <c r="E11" s="13" t="inlineStr">
        <is>
          <t>Extremely weak; dies rapidly outside the human host; sensitive to cold and drying.</t>
        </is>
      </c>
      <c r="F11" s="13" t="inlineStr">
        <is>
          <t>Pili (highly antigenically variable), outer membrane proteins, endotoxin (LPS), IgA1 protease. Destroys mucosal immunity.</t>
        </is>
      </c>
      <c r="G11" s="13" t="inlineStr">
        <is>
          <t>Gonorrhea (sexually transmitted urethritis, cervicitis with purulent discharge). Female infections are often asymptomatic early but can lead to PID. Neonatal ophthalmia (gonococcal conjunctivitis) via birth canal.</t>
        </is>
      </c>
      <c r="H11" s="13" t="inlineStr">
        <is>
          <t>Ceftriaxone or spectinomycin. Erythromycin eye drops for newborns. No vaccine due to high pilus variation.</t>
        </is>
      </c>
    </row>
    <row r="12" ht="15" customHeight="1">
      <c r="A12" s="14" t="n"/>
      <c r="B12" s="14" t="n"/>
      <c r="C12" s="14" t="n"/>
      <c r="D12" s="14" t="n"/>
      <c r="E12" s="14" t="n"/>
      <c r="F12" s="14" t="n"/>
      <c r="G12" s="14" t="n"/>
      <c r="H12" s="14" t="n"/>
    </row>
    <row r="13" ht="24" customHeight="1">
      <c r="A13" s="5" t="inlineStr">
        <is>
          <t>GRAM-NEGATIVE ENTERIC BACILLI</t>
        </is>
      </c>
    </row>
    <row r="14" ht="70" customHeight="1">
      <c r="A14" s="8" t="inlineStr">
        <is>
          <t>Escherichia coli</t>
        </is>
      </c>
      <c r="B14" s="9" t="inlineStr">
        <is>
          <t>G- Bacillus</t>
        </is>
      </c>
      <c r="C14" s="10" t="inlineStr">
        <is>
          <t>G- short rods, mostly possess peritrichous flagella (motile) and pili (fecal-oral adhesion).</t>
        </is>
      </c>
      <c r="D14" s="10" t="inlineStr">
        <is>
          <t>Aerobic/facultative; ferments lactose with gas (forms pink, large colonies on MacConkey/SS agar; green metallic sheen on EMB agar).</t>
        </is>
      </c>
      <c r="E14" s="10" t="inlineStr">
        <is>
          <t>Susceptible to heat and standard disinfectants; easily develops drug resistance via plasmid transfer.</t>
        </is>
      </c>
      <c r="F14" s="10" t="inlineStr">
        <is>
          <t>Pili, enterotoxins (Heat-labile LT, Heat-stable ST), Shiga-like toxin, endotoxin, capsule.</t>
        </is>
      </c>
      <c r="G14" s="10" t="inlineStr">
        <is>
          <t>UTI (most common cause), neonatal meningitis, septicemia. Gastroenteritis via pathotypes: ETEC (traveler's diarrhea), EPEC (infantile), EHEC (bloody diarrhea, HUS), EIEC (dysentery-like), EAggEC.</t>
        </is>
      </c>
      <c r="H14" s="10" t="inlineStr">
        <is>
          <t>Fluid/electrolyte management. Antibiotics (based on sensitivity test) for systemic infections. Hygiene.</t>
        </is>
      </c>
    </row>
    <row r="15" ht="56" customHeight="1">
      <c r="A15" s="11" t="inlineStr">
        <is>
          <t>Shigella species (Dysentery Bacillus)</t>
        </is>
      </c>
      <c r="B15" s="12" t="inlineStr">
        <is>
          <t>G- Bacillus</t>
        </is>
      </c>
      <c r="C15" s="13" t="inlineStr">
        <is>
          <t>G- short rods, possess pili for attachment, non-motile (no flagella).</t>
        </is>
      </c>
      <c r="D15" s="13" t="inlineStr">
        <is>
          <t>Lactose non-fermenter; forms colorless, small, smooth colonies on SS agar.</t>
        </is>
      </c>
      <c r="E15" s="13" t="inlineStr">
        <is>
          <t>Weak, highly sensitive to heat, drying, and gastric acid; S. sonnei is a late/slow lactose fermenter.</t>
        </is>
      </c>
      <c r="F15" s="13" t="inlineStr">
        <is>
          <t>Pili (invasion of colonic epithelial cells), strong endotoxin (causes mucosal necrosis), Shiga exotoxin (Stx, enterotoxic, cytotoxic, neurotoxic).</t>
        </is>
      </c>
      <c r="G15" s="13" t="inlineStr">
        <is>
          <t>Bacillary dysentery (acute and chronic). Manifests as fever, abdominal pain, tenesmus, bloody purulent stools. Toxic megacolon/shock can occur.</t>
        </is>
      </c>
      <c r="H15" s="13" t="inlineStr">
        <is>
          <t>Oral rehydration, fluoroquinolones or trimethoprim-sulfamethoxazole. Strict personal hygiene. No widely used vaccine.</t>
        </is>
      </c>
    </row>
    <row r="16" ht="60" customHeight="1">
      <c r="A16" s="8" t="inlineStr">
        <is>
          <t>Salmonella species</t>
        </is>
      </c>
      <c r="B16" s="9" t="inlineStr">
        <is>
          <t>G- Bacillus</t>
        </is>
      </c>
      <c r="C16" s="10" t="inlineStr">
        <is>
          <t>G- rods, possess peritrichous flagella (highly motile) and pili. Non-spore.</t>
        </is>
      </c>
      <c r="D16" s="10" t="inlineStr">
        <is>
          <t>Lactose non-fermenter; forms colorless colonies with black centers (H2S production) on SS agar.</t>
        </is>
      </c>
      <c r="E16" s="10" t="inlineStr">
        <is>
          <t>Moderate; easily killed by boiling (100°C) and standard pasteurization/disinfectants.</t>
        </is>
      </c>
      <c r="F16" s="10" t="inlineStr">
        <is>
          <t>Invasion proteins (Vi antigen, anti-phagocytic), endotoxin, enterotoxin. Multiplies and survives inside macrophages.</t>
        </is>
      </c>
      <c r="G16" s="10" t="inlineStr">
        <is>
          <t>Enteric (Typhoid/Paratyphoid) fever (fever, rose spots, splenomegaly, leukopenia, intestinal hemorrhage/perforation in 3rd week), gastroenteritis, septicemia.</t>
        </is>
      </c>
      <c r="H16" s="10" t="inlineStr">
        <is>
          <t>Widal test for auxiliary diagnosis. Antibiotics (ceftriaxone, ciprofloxacin). Typhoid vaccine (Vi polysaccharide) available.</t>
        </is>
      </c>
    </row>
    <row r="17" ht="15" customHeight="1">
      <c r="A17" s="14" t="n"/>
      <c r="B17" s="14" t="n"/>
      <c r="C17" s="14" t="n"/>
      <c r="D17" s="14" t="n"/>
      <c r="E17" s="14" t="n"/>
      <c r="F17" s="14" t="n"/>
      <c r="G17" s="14" t="n"/>
      <c r="H17" s="14" t="n"/>
    </row>
    <row r="18" ht="24" customHeight="1">
      <c r="A18" s="5" t="inlineStr">
        <is>
          <t>VIBRIOS</t>
        </is>
      </c>
    </row>
    <row r="19" ht="60" customHeight="1">
      <c r="A19" s="8" t="inlineStr">
        <is>
          <t>Vibrio cholerae</t>
        </is>
      </c>
      <c r="B19" s="9" t="inlineStr">
        <is>
          <t>G- Vibrio</t>
        </is>
      </c>
      <c r="C19" s="10" t="inlineStr">
        <is>
          <t>G- comma-shaped curved rod, single polar flagellum ("shuttling like fish" darting motility).</t>
        </is>
      </c>
      <c r="D19" s="10" t="inlineStr">
        <is>
          <t>Facultative anaerobe; grows in highly alkaline media (pH 8.5-9.5, alkaline peptone water); yellow colonies on TCBS agar.</t>
        </is>
      </c>
      <c r="E19" s="10" t="inlineStr">
        <is>
          <t>Very weak; sensitive to heat, drying, and gastric acid; killed at 100°C in 2 minutes.</t>
        </is>
      </c>
      <c r="F19" s="10" t="inlineStr">
        <is>
          <t>Flagella (penetrates mucus), pili (TCP, attachment), Cholera Toxin (exotoxin, activates adenylate cyclase -&gt; high cAMP -&gt; hypersecretion of water/electrolytes).</t>
        </is>
      </c>
      <c r="G19" s="10" t="inlineStr">
        <is>
          <t>Cholera (severe, painless watery diarrhea, "rice-water" stools, extreme dehydration, muscle cramps, hypovolemic shock).</t>
        </is>
      </c>
      <c r="H19" s="10" t="inlineStr">
        <is>
          <t>Immediate, massive oral/IV rehydration (essential), tetracycline/doxycycline to shorten shedding. Quarantine, sanitation.</t>
        </is>
      </c>
    </row>
    <row r="20" ht="50" customHeight="1">
      <c r="A20" s="11" t="inlineStr">
        <is>
          <t>Vibrio parahaemolyticus</t>
        </is>
      </c>
      <c r="B20" s="12" t="inlineStr">
        <is>
          <t>G- Vibrio</t>
        </is>
      </c>
      <c r="C20" s="13" t="inlineStr">
        <is>
          <t>G- polymorphic curved rod, halophilic (requires high salt, 3.5% NaCl).</t>
        </is>
      </c>
      <c r="D20" s="13" t="inlineStr">
        <is>
          <t>Halophilic growth, green colonies on TCBS, Kanagawa phenomenon positive (produces thermostable direct hemolysin).</t>
        </is>
      </c>
      <c r="E20" s="13" t="inlineStr">
        <is>
          <t>Sensitive to heat, acid, and fresh water (dies in tap water).</t>
        </is>
      </c>
      <c r="F20" s="13" t="inlineStr">
        <is>
          <t>Thermostable direct hemolysin (TDH) and TDH-related hemolysin (TRH) (cytotoxic, cardiotoxic).</t>
        </is>
      </c>
      <c r="G20" s="13" t="inlineStr">
        <is>
          <t>Food poisoning (acute gastroenteritis with watery diarrhea, abdominal cramps, fever) associated with raw/undercooked seafood.</t>
        </is>
      </c>
      <c r="H20" s="13" t="inlineStr">
        <is>
          <t>Self-limiting; hydration. Antibiotics only for severe cases.</t>
        </is>
      </c>
    </row>
    <row r="21" ht="15" customHeight="1">
      <c r="A21" s="14" t="n"/>
      <c r="B21" s="14" t="n"/>
      <c r="C21" s="14" t="n"/>
      <c r="D21" s="14" t="n"/>
      <c r="E21" s="14" t="n"/>
      <c r="F21" s="14" t="n"/>
      <c r="G21" s="14" t="n"/>
      <c r="H21" s="14" t="n"/>
    </row>
    <row r="22" ht="24" customHeight="1">
      <c r="A22" s="5" t="inlineStr">
        <is>
          <t>ANAEROBIC SPORE-FORMING BACILLI</t>
        </is>
      </c>
    </row>
    <row r="23" ht="53" customHeight="1">
      <c r="A23" s="8" t="inlineStr">
        <is>
          <t>Clostridium tetani</t>
        </is>
      </c>
      <c r="B23" s="9" t="inlineStr">
        <is>
          <t>G+ Bacillus</t>
        </is>
      </c>
      <c r="C23" s="10" t="inlineStr">
        <is>
          <t>G+ slender bacilli with terminal round spores, presenting a characteristic "drum-stick" appearance.</t>
        </is>
      </c>
      <c r="D23" s="10" t="inlineStr">
        <is>
          <t>Obligate anaerobe, difficult to grow, swarming growth on blood agar.</t>
        </is>
      </c>
      <c r="E23" s="10" t="inlineStr">
        <is>
          <t>Spores are extremely resistant; survive boiling for hours; killed only by autoclaving at 121°C under pressure.</t>
        </is>
      </c>
      <c r="F23" s="10" t="inlineStr">
        <is>
          <t>Tetanospasmin (powerful neurotoxin, blocks release of inhibitory neurotransmitters GABA/glycine -&gt; continuous muscle contraction).</t>
        </is>
      </c>
      <c r="G23" s="10" t="inlineStr">
        <is>
          <t>Tetanus (lockjaw, trismus, spastic paralysis, opisthotonus, facial grimace/risus sardonicus). Wound must be anaerobic (deep/dirty).</t>
        </is>
      </c>
      <c r="H23" s="10" t="inlineStr">
        <is>
          <t>Wound debridement, Tetanus Antitoxin (TAT, must perform skin test first!), penicillin/metronidazole, DPT toxoid vaccine for prevention.</t>
        </is>
      </c>
    </row>
    <row r="24" ht="52" customHeight="1">
      <c r="A24" s="11" t="inlineStr">
        <is>
          <t>Clostridium perfringens</t>
        </is>
      </c>
      <c r="B24" s="12" t="inlineStr">
        <is>
          <t>G+ Bacillus</t>
        </is>
      </c>
      <c r="C24" s="13" t="inlineStr">
        <is>
          <t>G+ large rectangular bacilli, non-motile, forms capsule in vivo, subterminal oval spore.</t>
        </is>
      </c>
      <c r="D24" s="13" t="inlineStr">
        <is>
          <t>Anaerobic; produces "stormy fermentation" in milk medium (clots and gas) and double-zone hemolysis on blood agar.</t>
        </is>
      </c>
      <c r="E24" s="13" t="inlineStr">
        <is>
          <t>Spores are highly resistant to heat, drying, and chemical disinfectants.</t>
        </is>
      </c>
      <c r="F24" s="13" t="inlineStr">
        <is>
          <t>Alpha toxin (lecithinase, damages cell membranes, causes tissue necrosis and hemolysis), enterotoxin, theta toxin.</t>
        </is>
      </c>
      <c r="G24" s="13" t="inlineStr">
        <is>
          <t>Gas gangrene (myonecrosis, gas bubbles in tissue, foul odor, high mortality), food poisoning (watery diarrhea from reheated meat).</t>
        </is>
      </c>
      <c r="H24" s="13" t="inlineStr">
        <is>
          <t>Surgical debridement, hyperbaric oxygen therapy, high-dose penicillin G, gas gangrene polyvalent antitoxin.</t>
        </is>
      </c>
    </row>
    <row r="25" ht="53" customHeight="1">
      <c r="A25" s="8" t="inlineStr">
        <is>
          <t>Clostridium botulinum</t>
        </is>
      </c>
      <c r="B25" s="9" t="inlineStr">
        <is>
          <t>G+ Bacillus</t>
        </is>
      </c>
      <c r="C25" s="10" t="inlineStr">
        <is>
          <t>G+ bacilli, peritrichous flagella, subterminal oval spores ("tennis racket" shape).</t>
        </is>
      </c>
      <c r="D25" s="10" t="inlineStr">
        <is>
          <t>Obligate anaerobe, grows on blood agar or cooked meat medium.</t>
        </is>
      </c>
      <c r="E25" s="10" t="inlineStr">
        <is>
          <t>Spores are extremely heat-resistant. However, the botulinum neurotoxin itself is heat-labile (destroyed by boiling for 10 min).</t>
        </is>
      </c>
      <c r="F25" s="10" t="inlineStr">
        <is>
          <t>Botulinum neurotoxin (the most potent poison known; blocks acetylcholine release at neuromuscular junctions -&gt; flaccid paralysis).</t>
        </is>
      </c>
      <c r="G25" s="10" t="inlineStr">
        <is>
          <t>Botulism (foodborne from canned foods: double vision, dysphagia, descending flaccid paralysis, respiratory failure). Infant botulism.</t>
        </is>
      </c>
      <c r="H25" s="10" t="inlineStr">
        <is>
          <t>Trivalent botulinum antitoxin, intensive respiratory support. Heat canned food thoroughly before consumption.</t>
        </is>
      </c>
    </row>
    <row r="26" ht="15" customHeight="1">
      <c r="A26" s="14" t="n"/>
      <c r="B26" s="14" t="n"/>
      <c r="C26" s="14" t="n"/>
      <c r="D26" s="14" t="n"/>
      <c r="E26" s="14" t="n"/>
      <c r="F26" s="14" t="n"/>
      <c r="G26" s="14" t="n"/>
      <c r="H26" s="14" t="n"/>
    </row>
    <row r="27" ht="24" customHeight="1">
      <c r="A27" s="5" t="inlineStr">
        <is>
          <t>ACID-FAST &amp; INTRACELLULAR BACTERIA</t>
        </is>
      </c>
    </row>
    <row r="28" ht="63" customHeight="1">
      <c r="A28" s="8" t="inlineStr">
        <is>
          <t>Mycobacterium tuberculosis</t>
        </is>
      </c>
      <c r="B28" s="9" t="inlineStr">
        <is>
          <t>Acid-Fast Rod</t>
        </is>
      </c>
      <c r="C28" s="10" t="inlineStr">
        <is>
          <t>Acid-fast positive thin, straight rods, waxy lipid-rich cell wall (mycolic acid), non-spore, non-motile.</t>
        </is>
      </c>
      <c r="D28" s="10" t="inlineStr">
        <is>
          <t>Obligate aerobe; grows extremely slowly (doubling time 18 hrs); rough, wrinkled, off-white "bread crumb" colonies on Löwenstein-Jensen (L-J) medium in 2-4 weeks.</t>
        </is>
      </c>
      <c r="E28" s="10" t="inlineStr">
        <is>
          <t>High resistance to drying, acids, and alkalis (survives 3% HCl / 4% NaOH for 15 min); sensitive to wet heat (65°C 15min), alcohol (75%), and UV.</t>
        </is>
      </c>
      <c r="F28" s="10" t="inlineStr">
        <is>
          <t>Intracellular survival in macrophages, lipids (cord factor, wax D, sulfatide, phospholipid) cause tissue necrosis and granuloma.</t>
        </is>
      </c>
      <c r="G28" s="10" t="inlineStr">
        <is>
          <t>Tuberculosis: Primary TB (tubercles, caseous necrosis), Post-primary TB (secondary reactivation, lung cavities, chronic cough, bloody sputum), Miliary TB (disseminated).</t>
        </is>
      </c>
      <c r="H28" s="10" t="inlineStr">
        <is>
          <t>Tuberculin skin test (PPD/OT) for diagnosis. BCG vaccine (live attenuated M. bovis) for infants. Multi-drug therapy (Isoniazid, Rifampin, Streptomycin).</t>
        </is>
      </c>
    </row>
    <row r="29" ht="58" customHeight="1">
      <c r="A29" s="11" t="inlineStr">
        <is>
          <t>Mycobacterium leprae</t>
        </is>
      </c>
      <c r="B29" s="12" t="inlineStr">
        <is>
          <t>Acid-Fast Rod</t>
        </is>
      </c>
      <c r="C29" s="13" t="inlineStr">
        <is>
          <t>Acid-fast positive rods, typically arranged in bundles (globi) inside histiocytes.</t>
        </is>
      </c>
      <c r="D29" s="13" t="inlineStr">
        <is>
          <t>Cannot be cultivated on artificial media or cell culture. Can only grow in armadillos or footpads of mice.</t>
        </is>
      </c>
      <c r="E29" s="13" t="inlineStr">
        <is>
          <t>Similar to M. tuberculosis (highly resistant to environmental factors).</t>
        </is>
      </c>
      <c r="F29" s="13" t="inlineStr">
        <is>
          <t>Infection of skin histiocytes and Schwann cells of peripheral nerves, leading to demyelination and nerve damage.</t>
        </is>
      </c>
      <c r="G29" s="13" t="inlineStr">
        <is>
          <t>Leprosy (Hansen's disease): Lepromatous leprosy (severe, nodular skin lesions, lion-like facies) or Tuberculoid leprosy (local anesthetic skin macules).</t>
        </is>
      </c>
      <c r="H29" s="13" t="inlineStr">
        <is>
          <t>Multi-drug therapy: Dapsone, Rifampin, and Clofazimine. No vaccine.</t>
        </is>
      </c>
    </row>
    <row r="30" ht="58" customHeight="1">
      <c r="A30" s="8" t="inlineStr">
        <is>
          <t>Mycoplasma pneumoniae</t>
        </is>
      </c>
      <c r="B30" s="9" t="inlineStr">
        <is>
          <t>No Cell Wall</t>
        </is>
      </c>
      <c r="C30" s="10" t="inlineStr">
        <is>
          <t>Pleomorphic, small, completely lacks a peptidoglycan cell wall; bounded by a triple-layered sterol membrane.</t>
        </is>
      </c>
      <c r="D30" s="10" t="inlineStr">
        <is>
          <t>Enriched agar containing sterols/serum; grows slowly (takes 2-3 weeks), forming tiny "fried egg" colonies.</t>
        </is>
      </c>
      <c r="E30" s="10" t="inlineStr">
        <is>
          <t>Highly sensitive to drying, heat, osmotic shock, and antibiotics targeting cell wall (completely resistant to penicillin/beta-lactams).</t>
        </is>
      </c>
      <c r="F30" s="10" t="inlineStr">
        <is>
          <t>P1 adhesin (attaches to respiratory cilia, inhibits ciliary action), hydrogen peroxide production.</t>
        </is>
      </c>
      <c r="G30" s="10" t="inlineStr">
        <is>
          <t>Primary Atypical Pneumonia (PAP, walking pneumonia: dry hacking cough, fever, headache, patchy infiltrates on X-ray). Cold agglutination test positive.</t>
        </is>
      </c>
      <c r="H30" s="10" t="inlineStr">
        <is>
          <t>Macrolides (erythromycin, azithromycin) or tetracycline/doxycycline. Resistant to beta-lactams.</t>
        </is>
      </c>
    </row>
    <row r="31" ht="65" customHeight="1">
      <c r="A31" s="11" t="inlineStr">
        <is>
          <t>Chlamydia trachomatis</t>
        </is>
      </c>
      <c r="B31" s="12" t="inlineStr">
        <is>
          <t>Intracellular</t>
        </is>
      </c>
      <c r="C31" s="13" t="inlineStr">
        <is>
          <t>Small, obligate intracellular bacteria. Exists in two forms: Elementary Body (EB, small, infectious, extracellular) and Reticulate Body (RB, large, replicative, intracellular).</t>
        </is>
      </c>
      <c r="D31" s="13" t="inlineStr">
        <is>
          <t>Requires living host cells (yolk sac of embryonated eggs, McCoy cell cultures). Forms glycogen-containing inclusion bodies.</t>
        </is>
      </c>
      <c r="E31" s="13" t="inlineStr">
        <is>
          <t>Sensitive to heat, lipid solvents, and antibiotics.</t>
        </is>
      </c>
      <c r="F31" s="13" t="inlineStr">
        <is>
          <t>Intracellular replication cycle (EB -&gt; RB -&gt; binary fission -&gt; EB -&gt; cell lysis). Direct cellular damage and chronic inflammation.</t>
        </is>
      </c>
      <c r="G31" s="13" t="inlineStr">
        <is>
          <t>Trachoma (serotypes A-C, chronic conjunctivitis, blindness), inclusion conjunctivitis, nongonococcal urethritis (NGU), Lymphogranuloma Venereum (LGV, serotypes L1-L3).</t>
        </is>
      </c>
      <c r="H31" s="13" t="inlineStr">
        <is>
          <t>Tetracycline/doxycycline, erythromycin, or azithromycin.</t>
        </is>
      </c>
    </row>
    <row r="32" ht="54" customHeight="1">
      <c r="A32" s="8" t="inlineStr">
        <is>
          <t>Rickettsia prowazekii</t>
        </is>
      </c>
      <c r="B32" s="9" t="inlineStr">
        <is>
          <t>Intracellular</t>
        </is>
      </c>
      <c r="C32" s="10" t="inlineStr">
        <is>
          <t>Small, pleomorphic Gram-negative coccobacilli, visible under light microscope.</t>
        </is>
      </c>
      <c r="D32" s="10" t="inlineStr">
        <is>
          <t>Obligate intracellular parasite; cultivated in yolk sacs of embryonated eggs, tissue culture, or susceptible animals (guinea pigs).</t>
        </is>
      </c>
      <c r="E32" s="10" t="inlineStr">
        <is>
          <t>Sensitive to heat, drying, disinfectants, and antibiotics.</t>
        </is>
      </c>
      <c r="F32" s="10" t="inlineStr">
        <is>
          <t>Endothelial cell infection, multiplying in cytoplasm -&gt; vasculitis, thrombosis, rash. Weil-Felix reaction (cross-reacts with Proteus OX19).</t>
        </is>
      </c>
      <c r="G32" s="10" t="inlineStr">
        <is>
          <t>Epidemic typhus (severe fever, headache, macular rash, stupor/delirium). Transmitted by the human body louse.</t>
        </is>
      </c>
      <c r="H32" s="10" t="inlineStr">
        <is>
          <t>Vector control (louse control). Tetracyclines (doxycycline) or chloramphenicol. Live vaccine strain E used experimentally.</t>
        </is>
      </c>
    </row>
    <row r="33" ht="15" customHeight="1">
      <c r="A33" s="14" t="n"/>
      <c r="B33" s="14" t="n"/>
      <c r="C33" s="14" t="n"/>
      <c r="D33" s="14" t="n"/>
      <c r="E33" s="14" t="n"/>
      <c r="F33" s="14" t="n"/>
      <c r="G33" s="14" t="n"/>
      <c r="H33" s="14" t="n"/>
    </row>
    <row r="34" ht="24" customHeight="1">
      <c r="A34" s="5" t="inlineStr">
        <is>
          <t>SPIROCHETES</t>
        </is>
      </c>
    </row>
    <row r="35" ht="59" customHeight="1">
      <c r="A35" s="8" t="inlineStr">
        <is>
          <t>Treponema pallidum</t>
        </is>
      </c>
      <c r="B35" s="9" t="inlineStr">
        <is>
          <t>Spirochete</t>
        </is>
      </c>
      <c r="C35" s="10" t="inlineStr">
        <is>
          <t>Thin, spiral-shaped with close, regular spirals; Gram-negative but stained by Fontana silver stain (brown); dark-field microscopy for live motility.</t>
        </is>
      </c>
      <c r="D35" s="10" t="inlineStr">
        <is>
          <t>Cannot be cultivated on artificial media. Can be maintained in rabbit epithelial cells but grows very slowly.</t>
        </is>
      </c>
      <c r="E35" s="10" t="inlineStr">
        <is>
          <t>Very weak; sensitive to heat, drying, oxygen, soap, and standard disinfectants.</t>
        </is>
      </c>
      <c r="F35" s="10" t="inlineStr">
        <is>
          <t>Hyaluronidase, outer membrane proteins. Damages endothelial cells of blood vessels, leading to endarteritis.</t>
        </is>
      </c>
      <c r="G35" s="10" t="inlineStr">
        <is>
          <t>Syphilis: Primary (painless chancre), Secondary (diffuse skin rash, condylomata lata), Tertiary (gummas, cardiovascular/neurosyphilis). Congenital syphilis.</t>
        </is>
      </c>
      <c r="H35" s="10" t="inlineStr">
        <is>
          <t>Penicillin G is highly effective and remains the first choice. No vaccine.</t>
        </is>
      </c>
    </row>
    <row r="36" ht="64" customHeight="1">
      <c r="A36" s="11" t="inlineStr">
        <is>
          <t>Leptospira interrogans</t>
        </is>
      </c>
      <c r="B36" s="12" t="inlineStr">
        <is>
          <t>Spirochete</t>
        </is>
      </c>
      <c r="C36" s="13" t="inlineStr">
        <is>
          <t>Tightly coiled spirals with hook-shaped ends, forming characteristic "C" or "S" shapes. Gram-negative; stained by Fontana silver stain.</t>
        </is>
      </c>
      <c r="D36" s="13" t="inlineStr">
        <is>
          <t>Aerobic; can be cultivated in liquid media containing animal serum (Korthof medium); grows slowly at 28-30°C.</t>
        </is>
      </c>
      <c r="E36" s="13" t="inlineStr">
        <is>
          <t>Highly sensitive to drying and acid; can survive in neutral/alkaline water for weeks.</t>
        </is>
      </c>
      <c r="F36" s="13" t="inlineStr">
        <is>
          <t>Invasion through broken skin/mucosa from water contaminated with infected rodent/domestic animal urine.</t>
        </is>
      </c>
      <c r="G36" s="13" t="inlineStr">
        <is>
          <t>Leptospirosis (zoonosis, common in farmers): biphasic illness with fever, muscle pain (especially calves), conjunctival suffusion, Weil's disease (jaundice, renal failure).</t>
        </is>
      </c>
      <c r="H36" s="13" t="inlineStr">
        <is>
          <t>Penicillin G or doxycycline. Rodent control, vaccination of domestic animals, avoid contaminated water.</t>
        </is>
      </c>
    </row>
    <row r="37" ht="51" customHeight="1">
      <c r="A37" s="8" t="inlineStr">
        <is>
          <t>Borrelia burgdorferi</t>
        </is>
      </c>
      <c r="B37" s="9" t="inlineStr">
        <is>
          <t>Spirochete</t>
        </is>
      </c>
      <c r="C37" s="10" t="inlineStr">
        <is>
          <t>Large, loose spirals with wider distances than T. pallidum. Gram-negative; stained by silver impregnation.</t>
        </is>
      </c>
      <c r="D37" s="10" t="inlineStr">
        <is>
          <t>Microaerophilic; cultivated in BSK (Barbour-Stoenner-Kelly) medium; grows slowly.</t>
        </is>
      </c>
      <c r="E37" s="10" t="inlineStr">
        <is>
          <t>Sensitive to heat, drying, and disinfectants.</t>
        </is>
      </c>
      <c r="F37" s="10" t="inlineStr">
        <is>
          <t>Transmission via Ixodes tick bite. Outer surface proteins (Osp) trigger inflammatory response.</t>
        </is>
      </c>
      <c r="G37" s="10" t="inlineStr">
        <is>
          <t>Lyme disease: Stage 1 (erythema migrans/bull's-eye rash), Stage 2 (carditis, neurological symptoms), Stage 3 (chronic arthritis).</t>
        </is>
      </c>
      <c r="H37" s="10" t="inlineStr">
        <is>
          <t>Doxycycline or amoxicillin. Tick control, personal protection in endemic areas.</t>
        </is>
      </c>
    </row>
    <row r="38" ht="15" customHeight="1">
      <c r="A38" s="14" t="n"/>
      <c r="B38" s="14" t="n"/>
      <c r="C38" s="14" t="n"/>
      <c r="D38" s="14" t="n"/>
      <c r="E38" s="14" t="n"/>
      <c r="F38" s="14" t="n"/>
      <c r="G38" s="14" t="n"/>
      <c r="H38" s="14" t="n"/>
    </row>
    <row r="39" ht="24" customHeight="1">
      <c r="A39" s="5" t="inlineStr">
        <is>
          <t>RESPIRATORY VIRUSES</t>
        </is>
      </c>
    </row>
    <row r="40" ht="63" customHeight="1">
      <c r="A40" s="8" t="inlineStr">
        <is>
          <t>Influenza Virus (Type A)</t>
        </is>
      </c>
      <c r="B40" s="9" t="inlineStr">
        <is>
          <t>RNA Virus</t>
        </is>
      </c>
      <c r="C40" s="10" t="inlineStr">
        <is>
          <t>Enveloped, spherical or pleomorphic; genome consists of 8 segments of negative-sense ssRNA. Glycoprotein spikes: Hemagglutinin (HA) &amp; Neuraminidase (NA).</t>
        </is>
      </c>
      <c r="D40" s="10" t="inlineStr">
        <is>
          <t>Cultivated in amniotic or allantoic cavities of embryonated chicken eggs or MDCK cell lines.</t>
        </is>
      </c>
      <c r="E40" s="10" t="inlineStr">
        <is>
          <t>Enveloped; sensitive to lipid solvents (ether, alcohol), heat, acid, and disinfectants.</t>
        </is>
      </c>
      <c r="F40" s="10" t="inlineStr">
        <is>
          <t>HA binds to sialic acid receptors on respiratory epithelium. NA liquefies mucus and aids viral release. Antigenic drift (epidemics) &amp; shift (reassortment -&gt; pandemics).</t>
        </is>
      </c>
      <c r="G40" s="10" t="inlineStr">
        <is>
          <t>Influenza (flu): abrupt onset of high fever, muscle ache, headache, cough, sore throat. Risk of primary/secondary bacterial pneumonia.</t>
        </is>
      </c>
      <c r="H40" s="10" t="inlineStr">
        <is>
          <t>Inactivated or live-attenuated vaccines. Neuraminidase inhibitors (Oseltamivir/Tamiflu) or M2 inhibitors (Amantadine).</t>
        </is>
      </c>
    </row>
    <row r="41" ht="60" customHeight="1">
      <c r="A41" s="11" t="inlineStr">
        <is>
          <t>Measles Virus</t>
        </is>
      </c>
      <c r="B41" s="12" t="inlineStr">
        <is>
          <t>RNA Virus</t>
        </is>
      </c>
      <c r="C41" s="13" t="inlineStr">
        <is>
          <t>Enveloped, spherical, paramyxovirus; non-segmented negative-sense ssRNA.</t>
        </is>
      </c>
      <c r="D41" s="13" t="inlineStr">
        <is>
          <t>Cultivated in cell culture; causes multinucleated giant cell formation (syncytia) and cytopathic effects (inclusion bodies).</t>
        </is>
      </c>
      <c r="E41" s="13" t="inlineStr">
        <is>
          <t>Enveloped; highly sensitive to heat, acid, lipid solvents, and UV light.</t>
        </is>
      </c>
      <c r="F41" s="13" t="inlineStr">
        <is>
          <t>Transmission via respiratory droplets. Virulence proteins cause fusion of infected cells. Mutated defective interfering particles (DIP) persist in brain.</t>
        </is>
      </c>
      <c r="G41" s="13" t="inlineStr">
        <is>
          <t>Measles (rubeola): fever, cough, coryza, conjunctivitis, Koplik's spots (white spots on buccal mucosa, diagnostic), maculopapular rash. Late complication: SSPE.</t>
        </is>
      </c>
      <c r="H41" s="13" t="inlineStr">
        <is>
          <t>Live attenuated measles vaccine (part of MMR, given at 8 months and 7 years). Immunoglobulin for passive protection.</t>
        </is>
      </c>
    </row>
    <row r="42" ht="60" customHeight="1">
      <c r="A42" s="8" t="inlineStr">
        <is>
          <t>Mumps Virus</t>
        </is>
      </c>
      <c r="B42" s="9" t="inlineStr">
        <is>
          <t>RNA Virus</t>
        </is>
      </c>
      <c r="C42" s="10" t="inlineStr">
        <is>
          <t>Enveloped, spherical, paramyxovirus; negative-sense ssRNA. Only one antigenic type.</t>
        </is>
      </c>
      <c r="D42" s="10" t="inlineStr">
        <is>
          <t>Cultivated in cell culture or embryonated eggs.</t>
        </is>
      </c>
      <c r="E42" s="10" t="inlineStr">
        <is>
          <t>Sensitive to heat, lipid solvents, and disinfectants.</t>
        </is>
      </c>
      <c r="F42" s="10" t="inlineStr">
        <is>
          <t>Respiratory droplet transmission. Disseminates from respiratory tract to salivary glands and other organs.</t>
        </is>
      </c>
      <c r="G42" s="10" t="inlineStr">
        <is>
          <t>Mumps: painful swelling of one or both parotid salivary glands, fever. Complications include orchitis (can lead to infertility in males) and aseptic meningitis.</t>
        </is>
      </c>
      <c r="H42" s="10" t="inlineStr">
        <is>
          <t>Live attenuated mumps vaccine (MMR vaccine). Lifetime immunity follows natural infection.</t>
        </is>
      </c>
    </row>
    <row r="43" ht="59" customHeight="1">
      <c r="A43" s="11" t="inlineStr">
        <is>
          <t>Rubella Virus</t>
        </is>
      </c>
      <c r="B43" s="12" t="inlineStr">
        <is>
          <t>RNA Virus</t>
        </is>
      </c>
      <c r="C43" s="13" t="inlineStr">
        <is>
          <t>Enveloped, spherical, togavirus; positive-sense ssRNA. One serotype.</t>
        </is>
      </c>
      <c r="D43" s="13" t="inlineStr">
        <is>
          <t>Cultivated in cell lines; displays poor cytopathic effects.</t>
        </is>
      </c>
      <c r="E43" s="13" t="inlineStr">
        <is>
          <t>Sensitive to heat, organic solvents, and low pH.</t>
        </is>
      </c>
      <c r="F43" s="13" t="inlineStr">
        <is>
          <t>Respiratory droplet transmission. Crosses the placenta (vertical transmission) to infect the fetus, halting mitosis and causing congenital defects.</t>
        </is>
      </c>
      <c r="G43" s="13" t="inlineStr">
        <is>
          <t>Rubella (German measles): mild rash, fever, lymphadenopathy. Congenital Rubella Syndrome (CRS): cataracts, patent ductus arteriosus, deafness, microcephaly.</t>
        </is>
      </c>
      <c r="H43" s="13" t="inlineStr">
        <is>
          <t>Live attenuated rubella vaccine (MMR vaccine). Women should not be vaccinated during pregnancy.</t>
        </is>
      </c>
    </row>
    <row r="44" ht="58" customHeight="1">
      <c r="A44" s="8" t="inlineStr">
        <is>
          <t>Respiratory Syncytial Virus (RSV)</t>
        </is>
      </c>
      <c r="B44" s="9" t="inlineStr">
        <is>
          <t>RNA Virus</t>
        </is>
      </c>
      <c r="C44" s="10" t="inlineStr">
        <is>
          <t>Enveloped, spherical, paramyxovirus; negative-sense ssRNA. Lacks HA and NA.</t>
        </is>
      </c>
      <c r="D44" s="10" t="inlineStr">
        <is>
          <t>Grows in cell culture; characteristically induces fusion of cells to form large multinucleated syncytia (giant cells).</t>
        </is>
      </c>
      <c r="E44" s="10" t="inlineStr">
        <is>
          <t>Highly unstable in environment; sensitive to heat, acid, and detergents.</t>
        </is>
      </c>
      <c r="F44" s="10" t="inlineStr">
        <is>
          <t>Transmission via droplets or contact. Infects bronchiolar epithelium, causing necrosis and plug formation of mucus/fibrin.</t>
        </is>
      </c>
      <c r="G44" s="10" t="inlineStr">
        <is>
          <t>Bronchiolitis and bronchopneumonia in infants (most important cause of infant respiratory tract illness, 50-90% of bronchiolitis). Common cold in adults.</t>
        </is>
      </c>
      <c r="H44" s="10" t="inlineStr">
        <is>
          <t>Supportive (oxygen, hydration). Ribavirin aerosol for severe cases. No vaccine.</t>
        </is>
      </c>
    </row>
    <row r="45" ht="15" customHeight="1">
      <c r="A45" s="14" t="n"/>
      <c r="B45" s="14" t="n"/>
      <c r="C45" s="14" t="n"/>
      <c r="D45" s="14" t="n"/>
      <c r="E45" s="14" t="n"/>
      <c r="F45" s="14" t="n"/>
      <c r="G45" s="14" t="n"/>
      <c r="H45" s="14" t="n"/>
    </row>
    <row r="46" ht="24" customHeight="1">
      <c r="A46" s="5" t="inlineStr">
        <is>
          <t>ENTEROVIRUSES &amp; GASTROINTESTINAL VIRUSES</t>
        </is>
      </c>
    </row>
    <row r="47" ht="61" customHeight="1">
      <c r="A47" s="8" t="inlineStr">
        <is>
          <t>Poliovirus</t>
        </is>
      </c>
      <c r="B47" s="9" t="inlineStr">
        <is>
          <t>RNA Virus</t>
        </is>
      </c>
      <c r="C47" s="10" t="inlineStr">
        <is>
          <t>Naked, small, icosahedral; positive-sense ssRNA. Three serotypes (1, 2, and 3).</t>
        </is>
      </c>
      <c r="D47" s="10" t="inlineStr">
        <is>
          <t>Grows rapidly in primate cell cultures with clear cytopathic effects.</t>
        </is>
      </c>
      <c r="E47" s="10" t="inlineStr">
        <is>
          <t>Naked capsid; highly resistant to lipid solvents (ether), acid (survives gastric acid), and detergents; sensitive to heat and chlorine.</t>
        </is>
      </c>
      <c r="F47" s="10" t="inlineStr">
        <is>
          <t>Fecal-oral transmission. Replicates in pharynx/gut lymphoid tissue -&gt; twice viremia -&gt; invades CNS -&gt; destroys motor neurons in spinal cord anterior horns.</t>
        </is>
      </c>
      <c r="G47" s="10" t="inlineStr">
        <is>
          <t>Poliomyelitis (infantile paralysis): 90-95% inapparent/subclinical. Minor illness (fever, sore throat). Paralytic poliomyelitis (flaccid paralysis, muscle atrophy).</t>
        </is>
      </c>
      <c r="H47" s="10" t="inlineStr">
        <is>
          <t>Sabin oral vaccine (OPV: live-attenuated, mucosal IgA + serum IgG, risk of reversion) or Salk vaccine (IPV: inactivated, serum IgG only, no reversion).</t>
        </is>
      </c>
    </row>
    <row r="48" ht="55" customHeight="1">
      <c r="A48" s="11" t="inlineStr">
        <is>
          <t>Coxsackievirus</t>
        </is>
      </c>
      <c r="B48" s="12" t="inlineStr">
        <is>
          <t>RNA Virus</t>
        </is>
      </c>
      <c r="C48" s="13" t="inlineStr">
        <is>
          <t>Naked, small, icosahedral, enterovirus; positive-sense ssRNA.</t>
        </is>
      </c>
      <c r="D48" s="13" t="inlineStr">
        <is>
          <t>Cultivated in cell culture or newborn mice.</t>
        </is>
      </c>
      <c r="E48" s="13" t="inlineStr">
        <is>
          <t>Resistant to ether, acid, and detergents.</t>
        </is>
      </c>
      <c r="F48" s="13" t="inlineStr">
        <is>
          <t>Fecal-oral transmission. Group A targets skin/mucosa; Group B has tissue tropism for heart, pancreas, and meninges.</t>
        </is>
      </c>
      <c r="G48" s="13" t="inlineStr">
        <is>
          <t>Group A: Herpangina, Hand-Foot-and-Mouth Disease, aseptic meningitis. Group B: viral myocarditis, pericarditis, Bornholm disease (pleurodynia).</t>
        </is>
      </c>
      <c r="H48" s="13" t="inlineStr">
        <is>
          <t>Symptomatic treatment. Hand hygiene, sanitation.</t>
        </is>
      </c>
    </row>
    <row r="49" ht="56" customHeight="1">
      <c r="A49" s="8" t="inlineStr">
        <is>
          <t>Rotavirus (Human)</t>
        </is>
      </c>
      <c r="B49" s="9" t="inlineStr">
        <is>
          <t>RNA Virus</t>
        </is>
      </c>
      <c r="C49" s="10" t="inlineStr">
        <is>
          <t>Naked, double-shelled capsid resembling a wheel ("Rota"); segmented dsRNA (11 segments).</t>
        </is>
      </c>
      <c r="D49" s="10" t="inlineStr">
        <is>
          <t>Difficult to cultivate in standard cell culture; requires trypsin pretreatment.</t>
        </is>
      </c>
      <c r="E49" s="10" t="inlineStr">
        <is>
          <t>Relatively stable in environment; resistant to ether, acid, and mild heat.</t>
        </is>
      </c>
      <c r="F49" s="10" t="inlineStr">
        <is>
          <t>Fecal-oral route. Infects and damages mature enterocytes in the duodenum and jejunum, leading to malabsorption of water and sodium.</t>
        </is>
      </c>
      <c r="G49" s="10" t="inlineStr">
        <is>
          <t>Severe infantile diarrhea (leading cause of diarrheal hospitalizations in infants and young children worldwide; watery stools, vomiting, fever).</t>
        </is>
      </c>
      <c r="H49" s="10" t="inlineStr">
        <is>
          <t>Oral or IV rehydration (critical). Rotavirus live-attenuated oral vaccines are available.</t>
        </is>
      </c>
    </row>
    <row r="50" ht="15" customHeight="1">
      <c r="A50" s="14" t="n"/>
      <c r="B50" s="14" t="n"/>
      <c r="C50" s="14" t="n"/>
      <c r="D50" s="14" t="n"/>
      <c r="E50" s="14" t="n"/>
      <c r="F50" s="14" t="n"/>
      <c r="G50" s="14" t="n"/>
      <c r="H50" s="14" t="n"/>
    </row>
    <row r="51" ht="24" customHeight="1">
      <c r="A51" s="5" t="inlineStr">
        <is>
          <t>HEPATITIS VIRUSES</t>
        </is>
      </c>
    </row>
    <row r="52" ht="53" customHeight="1">
      <c r="A52" s="8" t="inlineStr">
        <is>
          <t>Hepatitis A Virus (HAV)</t>
        </is>
      </c>
      <c r="B52" s="9" t="inlineStr">
        <is>
          <t>RNA Virus</t>
        </is>
      </c>
      <c r="C52" s="10" t="inlineStr">
        <is>
          <t>Naked, icosahedral picornavirus; positive-sense ssRNA. One serotype.</t>
        </is>
      </c>
      <c r="D52" s="10" t="inlineStr">
        <is>
          <t>Grows slowly in cell culture without cytopathic effects.</t>
        </is>
      </c>
      <c r="E52" s="10" t="inlineStr">
        <is>
          <t>Stable to acid (pH 3), ether, heat (60°C for 1 hr); inactivated by chlorine, formaldehyde, or boiling.</t>
        </is>
      </c>
      <c r="F52" s="10" t="inlineStr">
        <is>
          <t>Fecal-oral transmission. Replicates in hepatocytes, immune-mediated destruction of infected cells causes liver damage.</t>
        </is>
      </c>
      <c r="G52" s="10" t="inlineStr">
        <is>
          <t>Acute hepatitis A: fever, anorexia, nausea, jaundice. Almost always self-limiting, no chronic carrier state, not linked to liver cancer.</t>
        </is>
      </c>
      <c r="H52" s="10" t="inlineStr">
        <is>
          <t>Symptomatic. Inactivated HAV vaccine for active immunization. Immune globulin for passive post-exposure prophylaxis.</t>
        </is>
      </c>
    </row>
    <row r="53" ht="61" customHeight="1">
      <c r="A53" s="11" t="inlineStr">
        <is>
          <t>Hepatitis B Virus (HBV)</t>
        </is>
      </c>
      <c r="B53" s="12" t="inlineStr">
        <is>
          <t>DNA Virus</t>
        </is>
      </c>
      <c r="C53" s="13" t="inlineStr">
        <is>
          <t>Enveloped, double-shelled spherical particle ("Dane particle", intact HBV), circular partially dsDNA. Serum contains small spherical &amp; tubular HBsAg particles.</t>
        </is>
      </c>
      <c r="D53" s="13" t="inlineStr">
        <is>
          <t>Cannot be cultivated in cell lines. Chimpanzees are highly susceptible.</t>
        </is>
      </c>
      <c r="E53" s="13" t="inlineStr">
        <is>
          <t>Highly stable; resists drying, freezing, and mild heat; inactivated by autoclaving or 100°C for 10 min.</t>
        </is>
      </c>
      <c r="F53" s="13" t="inlineStr">
        <is>
          <t>Transmitted via blood, sex, or maternal-fetal (vertical). Uses reverse transcriptase for replication. Immune-mediated (CTLs) lysis of hepatocytes causes pathology.</t>
        </is>
      </c>
      <c r="G53" s="13" t="inlineStr">
        <is>
          <t>Hepatitis B (acute and chronic). High risk of chronic carriage, cirrhosis, and primary hepatocellular carcinoma (liver cancer).</t>
        </is>
      </c>
      <c r="H53" s="13" t="inlineStr">
        <is>
          <t>Recombinant HBsAg vaccine. Post-exposure HBIG (passive). Antivirals (Tenofovir, Entecavir, interferon-alpha) for chronic infection.</t>
        </is>
      </c>
    </row>
    <row r="54" ht="56" customHeight="1">
      <c r="A54" s="8" t="inlineStr">
        <is>
          <t>Hepatitis C Virus (HCV)</t>
        </is>
      </c>
      <c r="B54" s="9" t="inlineStr">
        <is>
          <t>RNA Virus</t>
        </is>
      </c>
      <c r="C54" s="10" t="inlineStr">
        <is>
          <t>Enveloped, spherical, flavivirus; positive-sense ssRNA. Highly variable hypervariable regions.</t>
        </is>
      </c>
      <c r="D54" s="10" t="inlineStr">
        <is>
          <t>Highly difficult to cultivate in vitro.</t>
        </is>
      </c>
      <c r="E54" s="10" t="inlineStr">
        <is>
          <t>Enveloped; sensitive to heat, lipid solvents, and disinfectants.</t>
        </is>
      </c>
      <c r="F54" s="10" t="inlineStr">
        <is>
          <t>Transmitted primarily by blood transfusion, IV drug use. High rate of antigenic mutation leads to immune escape and persistent chronic infection.</t>
        </is>
      </c>
      <c r="G54" s="10" t="inlineStr">
        <is>
          <t>Hepatitis C: acute infection is often subclinical, but &gt;80% progresses to chronic hepatitis, cirrhosis, and liver cancer.</t>
        </is>
      </c>
      <c r="H54" s="10" t="inlineStr">
        <is>
          <t>Direct-Acting Antivirals (DAAs, e.g., Sofosbuvir, Ledipasvir) offer a cure rate &gt;95%. No vaccine due to high mutation.</t>
        </is>
      </c>
    </row>
    <row r="55" ht="56" customHeight="1">
      <c r="A55" s="11" t="inlineStr">
        <is>
          <t>Hepatitis D Virus (HDV)</t>
        </is>
      </c>
      <c r="B55" s="12" t="inlineStr">
        <is>
          <t>RNA Virus</t>
        </is>
      </c>
      <c r="C55" s="13" t="inlineStr">
        <is>
          <t>Defective virus; spherical, contains negative-sense circular ssRNA, but uses HBV's envelope (HBsAg) for its outer coat.</t>
        </is>
      </c>
      <c r="D55" s="13" t="inlineStr">
        <is>
          <t>Requires co-infection with HBV to replicate.</t>
        </is>
      </c>
      <c r="E55" s="13" t="inlineStr">
        <is>
          <t>Sensitive to detergents, heat, and disinfectants.</t>
        </is>
      </c>
      <c r="F55" s="13" t="inlineStr">
        <is>
          <t>Transmitted via blood or sex. Co-infection (simultaneous HBV/HDV) or Superinfection (HDV infects chronic HBV carrier; causes severe acute flare).</t>
        </is>
      </c>
      <c r="G55" s="13" t="inlineStr">
        <is>
          <t>Severe hepatitis, fulminant hepatitis, rapid progression to cirrhosis.</t>
        </is>
      </c>
      <c r="H55" s="13" t="inlineStr">
        <is>
          <t>Prevented by HBV vaccination. Interferon-alpha is used with limited efficacy.</t>
        </is>
      </c>
    </row>
    <row r="56" ht="51" customHeight="1">
      <c r="A56" s="8" t="inlineStr">
        <is>
          <t>Hepatitis E Virus (HEV)</t>
        </is>
      </c>
      <c r="B56" s="9" t="inlineStr">
        <is>
          <t>RNA Virus</t>
        </is>
      </c>
      <c r="C56" s="10" t="inlineStr">
        <is>
          <t>Naked, icosahedral, hepevirus; positive-sense ssRNA.</t>
        </is>
      </c>
      <c r="D56" s="10" t="inlineStr">
        <is>
          <t>Grows poorly in cell culture.</t>
        </is>
      </c>
      <c r="E56" s="10" t="inlineStr">
        <is>
          <t>Relatively stable; sensitive to high temperature and chlorine.</t>
        </is>
      </c>
      <c r="F56" s="10" t="inlineStr">
        <is>
          <t>Fecal-oral transmission (often waterborne epidemics). Direct cytotoxicity or immune-mediated liver damage.</t>
        </is>
      </c>
      <c r="G56" s="10" t="inlineStr">
        <is>
          <t>Acute hepatitis E: similar to HAV. No chronic state. Highly severe in pregnant women (mortality rate up to 20% in 3rd trimester).</t>
        </is>
      </c>
      <c r="H56" s="10" t="inlineStr">
        <is>
          <t>Symptomatic support. Vaccine developed and used in some endemic countries.</t>
        </is>
      </c>
    </row>
    <row r="57" ht="15" customHeight="1">
      <c r="A57" s="14" t="n"/>
      <c r="B57" s="14" t="n"/>
      <c r="C57" s="14" t="n"/>
      <c r="D57" s="14" t="n"/>
      <c r="E57" s="14" t="n"/>
      <c r="F57" s="14" t="n"/>
      <c r="G57" s="14" t="n"/>
      <c r="H57" s="14" t="n"/>
    </row>
    <row r="58" ht="24" customHeight="1">
      <c r="A58" s="5" t="inlineStr">
        <is>
          <t>HERPESVIRUSES</t>
        </is>
      </c>
    </row>
    <row r="59" ht="56" customHeight="1">
      <c r="A59" s="8" t="inlineStr">
        <is>
          <t>Herpes Simplex Virus 1 (HSV-1)</t>
        </is>
      </c>
      <c r="B59" s="9" t="inlineStr">
        <is>
          <t>DNA Virus</t>
        </is>
      </c>
      <c r="C59" s="10" t="inlineStr">
        <is>
          <t>Enveloped, icosahedral capsid, linear dsDNA. Glycoprotein spikes.</t>
        </is>
      </c>
      <c r="D59" s="10" t="inlineStr">
        <is>
          <t>Grows rapidly in many cell lines, causing cytopathic effects (cell swelling, giant cells, intranuclear inclusions).</t>
        </is>
      </c>
      <c r="E59" s="10" t="inlineStr">
        <is>
          <t>Sensitive to heat, detergents, lipid solvents, and acid.</t>
        </is>
      </c>
      <c r="F59" s="10" t="inlineStr">
        <is>
          <t>Direct contact transmission. Primary lytic infection in epithelial cells, then establishes latent infection in neurons of the trigeminal ganglia.</t>
        </is>
      </c>
      <c r="G59" s="10" t="inlineStr">
        <is>
          <t>Herpes labialis (fever blisters, cold sores), gingivostomatitis, keratoconjunctivitis, sporadic herpes encephalitis (high mortality).</t>
        </is>
      </c>
      <c r="H59" s="10" t="inlineStr">
        <is>
          <t>Acyclovir (inhibits viral DNA polymerase), Ganciclovir. Avoid direct contact during active lesions. No vaccine.</t>
        </is>
      </c>
    </row>
    <row r="60" ht="55" customHeight="1">
      <c r="A60" s="11" t="inlineStr">
        <is>
          <t>Herpes Simplex Virus 2 (HSV-2)</t>
        </is>
      </c>
      <c r="B60" s="12" t="inlineStr">
        <is>
          <t>DNA Virus</t>
        </is>
      </c>
      <c r="C60" s="13" t="inlineStr">
        <is>
          <t>Enveloped, spherical, linear dsDNA, structurally similar to HSV-1.</t>
        </is>
      </c>
      <c r="D60" s="13" t="inlineStr">
        <is>
          <t>Cultivated in cell culture; cytopathology identical to HSV-1.</t>
        </is>
      </c>
      <c r="E60" s="13" t="inlineStr">
        <is>
          <t>Sensitive to heat, ether, and disinfectants.</t>
        </is>
      </c>
      <c r="F60" s="13" t="inlineStr">
        <is>
          <t>Sexual contact transmission or vertical neonatal transmission during delivery. Establishes latency in sacral nerve ganglia.</t>
        </is>
      </c>
      <c r="G60" s="13" t="inlineStr">
        <is>
          <t>Genital herpes (painful vesicular lesions on genitalia, fever, inguinal lymphadenopathy), neonatal herpes (severe, systemic, high mortality).</t>
        </is>
      </c>
      <c r="H60" s="13" t="inlineStr">
        <is>
          <t>Acyclovir, Famciclovir, Valacyclovir. Cesarean section if active lesions are present in the birth canal.</t>
        </is>
      </c>
    </row>
    <row r="61" ht="72" customHeight="1">
      <c r="A61" s="8" t="inlineStr">
        <is>
          <t>Varicella-Zoster Virus (VZV)</t>
        </is>
      </c>
      <c r="B61" s="9" t="inlineStr">
        <is>
          <t>DNA Virus</t>
        </is>
      </c>
      <c r="C61" s="10" t="inlineStr">
        <is>
          <t>Enveloped, icosahedral capsid, linear dsDNA. Structurally identical to other herpesviruses.</t>
        </is>
      </c>
      <c r="D61" s="10" t="inlineStr">
        <is>
          <t>Cultivated in human diploid cell cultures; grows slowly.</t>
        </is>
      </c>
      <c r="E61" s="10" t="inlineStr">
        <is>
          <t>Highly unstable in environment; sensitive to heat, detergents, and drying.</t>
        </is>
      </c>
      <c r="F61" s="10" t="inlineStr">
        <is>
          <t>Respiratory droplet transmission. Primary infection in respiratory tract, disseminates via blood to skin. Establishes latency in dorsal root sensory ganglia.</t>
        </is>
      </c>
      <c r="G61" s="10" t="inlineStr">
        <is>
          <t>Chickenpox (varicella: pruritic vesicular rash appearing in waves, mostly in children). Shingles (herpes zoster: painful vesicular eruption along a dermatome, reactivating in elderly/immunosuppressed).</t>
        </is>
      </c>
      <c r="H61" s="10" t="inlineStr">
        <is>
          <t>Acyclovir for shingles. Live-attenuated varicella vaccine (prevention). VZV immunoglobulin for exposed immunocompromised individuals.</t>
        </is>
      </c>
    </row>
    <row r="62" ht="65" customHeight="1">
      <c r="A62" s="11" t="inlineStr">
        <is>
          <t>Cytomegalovirus (CMV)</t>
        </is>
      </c>
      <c r="B62" s="12" t="inlineStr">
        <is>
          <t>DNA Virus</t>
        </is>
      </c>
      <c r="C62" s="13" t="inlineStr">
        <is>
          <t>Enveloped, largest herpesvirus, linear dsDNA. Glycoprotein spikes.</t>
        </is>
      </c>
      <c r="D62" s="13" t="inlineStr">
        <is>
          <t>Grows extremely slowly, only in human fibroblasts; characteristically produces cytomegaly (huge swollen cells with "owl's eye" intranuclear inclusions).</t>
        </is>
      </c>
      <c r="E62" s="13" t="inlineStr">
        <is>
          <t>Highly sensitive to freezing, heat, and detergents.</t>
        </is>
      </c>
      <c r="F62" s="13" t="inlineStr">
        <is>
          <t>Transmitted by blood, saliva, breast milk, semen, and placenta. Establishes latency in kidneys, salivary glands, and monocytes.</t>
        </is>
      </c>
      <c r="G62" s="13" t="inlineStr">
        <is>
          <t>Congenital cytomegalic inclusion disease (microcephaly, calcifications, hepatosplenomegaly), cytomegalic mononucleosis (heterophile-negative), severe pneumonia/retinitis in AIDS.</t>
        </is>
      </c>
      <c r="H62" s="13" t="inlineStr">
        <is>
          <t>Ganciclovir, Foscarnet. Screen blood products. No vaccine.</t>
        </is>
      </c>
    </row>
    <row r="63" ht="70" customHeight="1">
      <c r="A63" s="8" t="inlineStr">
        <is>
          <t>Epstein-Barr Virus (EBV)</t>
        </is>
      </c>
      <c r="B63" s="9" t="inlineStr">
        <is>
          <t>DNA Virus</t>
        </is>
      </c>
      <c r="C63" s="10" t="inlineStr">
        <is>
          <t>Enveloped, icosahedral capsid, linear dsDNA. Outer envelope contains gp340/220.</t>
        </is>
      </c>
      <c r="D63" s="10" t="inlineStr">
        <is>
          <t>Cannot grow in standard cell lines; infects and immortalizes human B lymphocytes in vitro (uses CD21 receptor).</t>
        </is>
      </c>
      <c r="E63" s="10" t="inlineStr">
        <is>
          <t>Sensitive to heat, ether, and standard disinfectants.</t>
        </is>
      </c>
      <c r="F63" s="10" t="inlineStr">
        <is>
          <t>Transmitted via saliva ("kissing disease"). gp120/gp340 binds CD21 on B cells. Immortalizes B cells, leading to uncontrolled proliferation.</t>
        </is>
      </c>
      <c r="G63" s="10" t="inlineStr">
        <is>
          <t>Infectious mononucleosis (fever, sore throat, lymphadenopathy, atypical lymphocytes), Burkitt's lymphoma (endemic in Africa), Nasopharyngeal carcinoma (NPC, highly prevalent in Southern China).</t>
        </is>
      </c>
      <c r="H63" s="10" t="inlineStr">
        <is>
          <t>Symptomatic. Acyclovir has no clinical benefit for acute mononucleosis. IgA anti-VCA antibody used to screen/monitor NPC. Subunit gp340 vaccine under development.</t>
        </is>
      </c>
    </row>
    <row r="64" ht="15" customHeight="1">
      <c r="A64" s="14" t="n"/>
      <c r="B64" s="14" t="n"/>
      <c r="C64" s="14" t="n"/>
      <c r="D64" s="14" t="n"/>
      <c r="E64" s="14" t="n"/>
      <c r="F64" s="14" t="n"/>
      <c r="G64" s="14" t="n"/>
      <c r="H64" s="14" t="n"/>
    </row>
    <row r="65" ht="24" customHeight="1">
      <c r="A65" s="5" t="inlineStr">
        <is>
          <t>OTHER PATHOGENIC VIRUSES</t>
        </is>
      </c>
    </row>
    <row r="66" ht="83" customHeight="1">
      <c r="A66" s="8" t="inlineStr">
        <is>
          <t>Human Immunodeficiency Virus (HIV)</t>
        </is>
      </c>
      <c r="B66" s="9" t="inlineStr">
        <is>
          <t>Retrovirus</t>
        </is>
      </c>
      <c r="C66" s="10" t="inlineStr">
        <is>
          <t>Enveloped, spherical, diploid +ssRNA (two identical copies of positive RNA). Core contains reverse transcriptase, integrase, protease, and p24. gp120 &amp; gp41 spikes.</t>
        </is>
      </c>
      <c r="D66" s="10" t="inlineStr">
        <is>
          <t>Cultivated in CD4+ T-lymphocyte cell lines or human peripheral blood mononuclear cells (PBMCs).</t>
        </is>
      </c>
      <c r="E66" s="10" t="inlineStr">
        <is>
          <t>Enveloped; sensitive to heating (56°C 30min), lipid solvents, and 70% alcohol.</t>
        </is>
      </c>
      <c r="F66" s="10" t="inlineStr">
        <is>
          <t>gp120 binds to CD4 receptors and co-receptors (CCR5/CXCR4) on Helper T (Th) cells and macrophages. Reverse transcriptase copies RNA to dsDNA, which integrates into host genome. CTLs destroy infected Th cells -&gt; collapse of cellular immunity.</t>
        </is>
      </c>
      <c r="G66" s="10" t="inlineStr">
        <is>
          <t>Acquired Immunodeficiency Syndrome (AIDS): long incubation; presenting with fever, lymphadenopathy, weight loss, followed by fatal opportunistic infections (Pneumocystis, Cryptococcus) and malignancies (Kaposi sarcoma).</t>
        </is>
      </c>
      <c r="H66" s="10" t="inlineStr">
        <is>
          <t>Combination Antiretroviral Therapy (ART/HAART: reverse transcriptase, protease, and integrase inhibitors). Safe sex, needle hygiene. No vaccine.</t>
        </is>
      </c>
    </row>
    <row r="67" ht="69" customHeight="1">
      <c r="A67" s="11" t="inlineStr">
        <is>
          <t>Rabies Virus</t>
        </is>
      </c>
      <c r="B67" s="12" t="inlineStr">
        <is>
          <t>RNA Virus</t>
        </is>
      </c>
      <c r="C67" s="13" t="inlineStr">
        <is>
          <t>Enveloped, bullet-shaped virus, negative-sense ssRNA. Glycoprotein spikes.</t>
        </is>
      </c>
      <c r="D67" s="13" t="inlineStr">
        <is>
          <t>Cultivated in cell culture (duck embryo or diploid cell lines) or mouse brain.</t>
        </is>
      </c>
      <c r="E67" s="13" t="inlineStr">
        <is>
          <t>Sensitive to lipid solvents, heat (56°C 1 hr), acid, and disinfectants.</t>
        </is>
      </c>
      <c r="F67" s="13" t="inlineStr">
        <is>
          <t>Bite of infected animal (saliva). Virus replicates locally in muscle, then ascends sensory nerves to spinal cord and brain. Form eosinophilic cytoplasmic inclusions (Negri bodies) in neurons.</t>
        </is>
      </c>
      <c r="G67" s="13" t="inlineStr">
        <is>
          <t>Rabies: hydrophobia (spasms of swallowing muscles triggered by sight of water), hyper-salivation, agitation, seizures, progressive paralysis, 100% fatal encephalitis once symptoms begin.</t>
        </is>
      </c>
      <c r="H67" s="13" t="inlineStr">
        <is>
          <t>Immediate wound washing with soap &amp; water, passive immunization (Rabies Immunoglobulin, HRIG) around wound, active immunization (killed rabies vaccine, HDCV).</t>
        </is>
      </c>
    </row>
    <row r="68" ht="64" customHeight="1">
      <c r="A68" s="8" t="inlineStr">
        <is>
          <t>Hantaan Virus (Hantavirus)</t>
        </is>
      </c>
      <c r="B68" s="9" t="inlineStr">
        <is>
          <t>RNA Virus</t>
        </is>
      </c>
      <c r="C68" s="10" t="inlineStr">
        <is>
          <t>Enveloped, spherical, bunyavirus; segmented negative-sense ssRNA (3 segments: L, M, S).</t>
        </is>
      </c>
      <c r="D68" s="10" t="inlineStr">
        <is>
          <t>Cultivated in Vero cells or suckling mice.</t>
        </is>
      </c>
      <c r="E68" s="10" t="inlineStr">
        <is>
          <t>Sensitive to heat, acid, detergents, and organic solvents.</t>
        </is>
      </c>
      <c r="F68" s="10" t="inlineStr">
        <is>
          <t>Natural host: striped field mouse (*Apodemus agrarius*). Shed in mouse urine, feces, saliva. Inhaled as aerosols -&gt; infects vascular endothelial cells -&gt; capillary leakage.</t>
        </is>
      </c>
      <c r="G68" s="10" t="inlineStr">
        <is>
          <t>Hemorrhagic Fever with Renal Syndrome (HFRS): fever, hemorrhage, hypotension/shock, oliguria, anuria, renal failure. Typical "three-red" (flushed face, neck, chest).</t>
        </is>
      </c>
      <c r="H68" s="10" t="inlineStr">
        <is>
          <t>Supportive fluid management. Ribavirin (reduces mortality if given early). Rodent control is the primary prevention.</t>
        </is>
      </c>
    </row>
    <row r="69" ht="65" customHeight="1">
      <c r="A69" s="11" t="inlineStr">
        <is>
          <t>Japanese Encephalitis Virus</t>
        </is>
      </c>
      <c r="B69" s="12" t="inlineStr">
        <is>
          <t>RNA Virus</t>
        </is>
      </c>
      <c r="C69" s="13" t="inlineStr">
        <is>
          <t>Enveloped, spherical, flavivirus; positive-sense ssRNA.</t>
        </is>
      </c>
      <c r="D69" s="13" t="inlineStr">
        <is>
          <t>Cultivated in cell lines or suckling mouse brain.</t>
        </is>
      </c>
      <c r="E69" s="13" t="inlineStr">
        <is>
          <t>Sensitive to heat, ether, acid, and disinfectants.</t>
        </is>
      </c>
      <c r="F69" s="13" t="inlineStr">
        <is>
          <t>Vector: Culex tritaeniorhynchus mosquito. Reservoir hosts: pigs and birds. Mosquito bite -&gt; viremia -&gt; crosses blood-brain barrier -&gt; infects CNS neurons.</t>
        </is>
      </c>
      <c r="G69" s="13" t="inlineStr">
        <is>
          <t>Japanese B Encephalitis: high fever, headache, vomiting, meningeal signs, altered mental status, stupor, coma, spastic paralysis. High rate of permanent neurological sequelae.</t>
        </is>
      </c>
      <c r="H69" s="13" t="inlineStr">
        <is>
          <t>Supportive care. Inactivated or live attenuated vaccines are highly effective for prevention.</t>
        </is>
      </c>
    </row>
    <row r="70" ht="69" customHeight="1">
      <c r="A70" s="8" t="inlineStr">
        <is>
          <t>Dengue Virus</t>
        </is>
      </c>
      <c r="B70" s="9" t="inlineStr">
        <is>
          <t>RNA Virus</t>
        </is>
      </c>
      <c r="C70" s="10" t="inlineStr">
        <is>
          <t>Enveloped, spherical, flavivirus; positive-sense ssRNA. Four serotypes (DEN-1 to DEN-4).</t>
        </is>
      </c>
      <c r="D70" s="10" t="inlineStr">
        <is>
          <t>Cultivated in mosquito cell lines or suckling mice.</t>
        </is>
      </c>
      <c r="E70" s="10" t="inlineStr">
        <is>
          <t>Sensitive to heat, lipid solvents, and disinfectants.</t>
        </is>
      </c>
      <c r="F70" s="10" t="inlineStr">
        <is>
          <t>Vector: Aedes aegypti/albopictus mosquito. Primary infection induces immunity. Secondary infection with a different serotype leads to Antibody-Dependent Enhancement (ADE) -&gt; severe disease.</t>
        </is>
      </c>
      <c r="G70" s="10" t="inlineStr">
        <is>
          <t>Dengue fever (breakbone fever: high fever, severe joint/muscle pain, retro-orbital pain, rash). Dengue Hemorrhagic Fever (DHF) / Dengue Shock Syndrome (DSS) due to vascular permeability.</t>
        </is>
      </c>
      <c r="H70" s="10" t="inlineStr">
        <is>
          <t>Supportive fluid therapy. Vector control. Avoid aspirin (risk of bleeding).</t>
        </is>
      </c>
    </row>
    <row r="71" ht="15" customHeight="1">
      <c r="A71" s="14" t="n"/>
      <c r="B71" s="14" t="n"/>
      <c r="C71" s="14" t="n"/>
      <c r="D71" s="14" t="n"/>
      <c r="E71" s="14" t="n"/>
      <c r="F71" s="14" t="n"/>
      <c r="G71" s="14" t="n"/>
      <c r="H71" s="14" t="n"/>
    </row>
    <row r="72" ht="24" customHeight="1">
      <c r="A72" s="5" t="inlineStr">
        <is>
          <t>PATHOGENIC FUNGI</t>
        </is>
      </c>
    </row>
    <row r="73" ht="62" customHeight="1">
      <c r="A73" s="8" t="inlineStr">
        <is>
          <t>Cryptococcus neoformans</t>
        </is>
      </c>
      <c r="B73" s="9" t="inlineStr">
        <is>
          <t>Fungus (Yeast)</t>
        </is>
      </c>
      <c r="C73" s="10" t="inlineStr">
        <is>
          <t>Encapsulated, round or oval yeast cell; reproduces by single budding. Surrounded by a very thick, prominent polysaccharide capsule.</t>
        </is>
      </c>
      <c r="D73" s="10" t="inlineStr">
        <is>
          <t>Sabouraud's dextrose agar at 25°C or 37°C; forms cream-colored, mucoid yeast-like colonies.</t>
        </is>
      </c>
      <c r="E73" s="10" t="inlineStr">
        <is>
          <t>Highly resistant in dry pigeon droppings, which serve as the primary environmental reservoir.</t>
        </is>
      </c>
      <c r="F73" s="10" t="inlineStr">
        <is>
          <t>Inhalation of yeast cells. Polysaccharide capsule is highly anti-phagocytic. Melanizing enzyme protects against oxidative damage.</t>
        </is>
      </c>
      <c r="G73" s="10" t="inlineStr">
        <is>
          <t>Cryptococcal meningitis (subacute/chronic meningitis with headache, neck stiffness, cranial nerve palsies, highly common in AIDS patients), pulmonary cryptococcosis.</t>
        </is>
      </c>
      <c r="H73" s="10" t="inlineStr">
        <is>
          <t>Negative ink stain of CSF for rapid diagnosis. Combination of Amphotericin B and Flucytosine, followed by long-term Fluconazole. No vaccine.</t>
        </is>
      </c>
    </row>
    <row r="74" ht="85" customHeight="1">
      <c r="A74" s="11" t="inlineStr">
        <is>
          <t>Candida albicans</t>
        </is>
      </c>
      <c r="B74" s="12" t="inlineStr">
        <is>
          <t>Fungus (Yeast)</t>
        </is>
      </c>
      <c r="C74" s="13" t="inlineStr">
        <is>
          <t>Oval budding yeast cells, forms pseudohyphae (in tissue invasion) and thick-walled double-contoured chlamydospores on cornmeal agar.</t>
        </is>
      </c>
      <c r="D74" s="13" t="inlineStr">
        <is>
          <t>Sabouraud's agar at 37°C; forms smooth, white-to-cream, yeast-scented colonies in 24-48 hours.</t>
        </is>
      </c>
      <c r="E74" s="13" t="inlineStr">
        <is>
          <t>Moderate; sensitive to standard antifungals and heat.</t>
        </is>
      </c>
      <c r="F74" s="13" t="inlineStr">
        <is>
          <t>Opportunistic pathogen (part of normal flora). Switches from yeast to pseudohyphae form during tissue invasion, adhering via cell surface proteins.</t>
        </is>
      </c>
      <c r="G74" s="13" t="inlineStr">
        <is>
          <t>Candidiasis: Superficial thrush (oral pseudomembranous plaques), vulvovaginitis (cottage-cheese discharge, itching), cutaneous intertrigo. Systemic candidiasis (endocarditis, meningitis, multi-organ abscesses in neutropenic/catheterized patients).</t>
        </is>
      </c>
      <c r="H74" s="13" t="inlineStr">
        <is>
          <t>Gram stain of scrapings. Topical or oral Nystatin/Clotrimazole for superficial infections; Fluconazole or Caspofungin/Amphotericin B for systemic candidiasis.</t>
        </is>
      </c>
    </row>
    <row r="75" ht="1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</row>
    <row r="76" ht="24" customHeight="1">
      <c r="A76" s="5" t="inlineStr">
        <is>
          <t>PROTOZOAN PARASITES</t>
        </is>
      </c>
    </row>
    <row r="77" ht="68" customHeight="1">
      <c r="A77" s="8" t="inlineStr">
        <is>
          <t>Plasmodium falciparum</t>
        </is>
      </c>
      <c r="B77" s="9" t="inlineStr">
        <is>
          <t>Protozoa</t>
        </is>
      </c>
      <c r="C77" s="10" t="inlineStr">
        <is>
          <t>Sporozoans; intra-erythrocytic stages include ring forms (small, delicate, double chromatin dots), banana-shaped gametocytes (highly diagnostic).</t>
        </is>
      </c>
      <c r="D77" s="10" t="inlineStr">
        <is>
          <t>Maintained in specialized erythrocyte cultures (in vitro) but not cultivated on standard agar.</t>
        </is>
      </c>
      <c r="E77" s="10" t="inlineStr">
        <is>
          <t>Sensitive to antimalarial drugs, though drug-resistant strains (chloroquine-resistant) are highly prevalent.</t>
        </is>
      </c>
      <c r="F77" s="10" t="inlineStr">
        <is>
          <t>Vector: female Anopheles mosquito. Infects RBCs, causing them to express sticky proteins (PfEMP-1) -&gt; adherence to capillary endothelium -&gt; microvascular occlusion.</t>
        </is>
      </c>
      <c r="G77" s="10" t="inlineStr">
        <is>
          <t>Malaria (malignant tertian malaria): irregular cycles of high fever, shaking chills, profuse sweating, anemia, splenomegaly. Cerebral malaria (coma, death) due to microvascular occlusion.</t>
        </is>
      </c>
      <c r="H77" s="10" t="inlineStr">
        <is>
          <t>Thick/thin blood smear stained with Giemsa. Artemisinin-based combination therapies (ACTs), Chloroquine, Primaquine. Mosquito control, bed nets.</t>
        </is>
      </c>
    </row>
    <row r="78" ht="71" customHeight="1">
      <c r="A78" s="11" t="inlineStr">
        <is>
          <t>Entamoeba histolytica</t>
        </is>
      </c>
      <c r="B78" s="12" t="inlineStr">
        <is>
          <t>Protozoa</t>
        </is>
      </c>
      <c r="C78" s="13" t="inlineStr">
        <is>
          <t>Amoeba. Two stages: Trophozoite (10-40 μm, motile, active, typically contains ingested RBCs) and Cyst (10-20 μm, dormant, spherical, 1-4 nuclei, chromatoid bodies).</t>
        </is>
      </c>
      <c r="D78" s="13" t="inlineStr">
        <is>
          <t>Can be cultured in specialized monoxenic/axenic liquid media.</t>
        </is>
      </c>
      <c r="E78" s="13" t="inlineStr">
        <is>
          <t>Trophozoites are fragile and die in environment. Cysts are highly resistant, surviving chlorination and gastric acid.</t>
        </is>
      </c>
      <c r="F78" s="13" t="inlineStr">
        <is>
          <t>Fecal-oral route (ingesting cysts). Excystation in ileum -&gt; trophozoites invade colonic mucosa using histolytic enzymes -&gt; flask-shaped ulcers. Can enter blood to liver.</t>
        </is>
      </c>
      <c r="G78" s="13" t="inlineStr">
        <is>
          <t>Amoebic dysentery (abdominal pain, flatulence, bloody stools with mucus but little pus). Extra-intestinal: Amoebic liver abscess (jaundice, right upper quadrant pain, chocolate/anchovy-paste pus).</t>
        </is>
      </c>
      <c r="H78" s="13" t="inlineStr">
        <is>
          <t>Saline smear (trophozoites) or iodine stain (cysts) of stool. Metronidazole (targets trophozoites) followed by paromomycin/diiodoquin (luminal amebicides for cysts).</t>
        </is>
      </c>
    </row>
    <row r="79" ht="15" customHeight="1">
      <c r="A79" s="14" t="n"/>
      <c r="B79" s="14" t="n"/>
      <c r="C79" s="14" t="n"/>
      <c r="D79" s="14" t="n"/>
      <c r="E79" s="14" t="n"/>
      <c r="F79" s="14" t="n"/>
      <c r="G79" s="14" t="n"/>
      <c r="H79" s="14" t="n"/>
    </row>
  </sheetData>
  <autoFilter ref="A3:H79"/>
  <mergeCells count="17">
    <mergeCell ref="A9:H9"/>
    <mergeCell ref="A4:H4"/>
    <mergeCell ref="A18:H18"/>
    <mergeCell ref="J3:K3"/>
    <mergeCell ref="A39:H39"/>
    <mergeCell ref="A65:H65"/>
    <mergeCell ref="A51:H51"/>
    <mergeCell ref="A72:H72"/>
    <mergeCell ref="A2:K2"/>
    <mergeCell ref="A76:H76"/>
    <mergeCell ref="A13:H13"/>
    <mergeCell ref="A46:H46"/>
    <mergeCell ref="A27:H27"/>
    <mergeCell ref="A1:K1"/>
    <mergeCell ref="A58:H58"/>
    <mergeCell ref="A22:H22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2026-08-12T14:44:41Z</dcterms:created>
  <dcterms:modified xmlns:dcterms="http://purl.org/dc/terms/" xmlns:xsi="http://www.w3.org/2001/XMLSchema-instance" xsi:type="dcterms:W3CDTF">2026-08-12T14:44:41Z</dcterms:modified>
</cp:coreProperties>
</file>