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of Contents" sheetId="1" state="visible" r:id="rId1"/>
    <sheet xmlns:r="http://schemas.openxmlformats.org/officeDocument/2006/relationships" name="Interactive Quiz" sheetId="2" state="visible" r:id="rId2"/>
    <sheet xmlns:r="http://schemas.openxmlformats.org/officeDocument/2006/relationships" name="Answer Key &amp; Explanations"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Calibri"/>
      <b val="1"/>
      <color rgb="00FFFFFF"/>
      <sz val="16"/>
    </font>
    <font>
      <name val="Calibri"/>
      <i val="1"/>
      <sz val="10"/>
    </font>
    <font>
      <name val="Calibri"/>
      <b val="1"/>
      <color rgb="00FFFFFF"/>
      <sz val="12"/>
    </font>
    <font>
      <name val="Calibri"/>
      <b val="1"/>
      <color rgb="00FFFFFF"/>
      <sz val="11"/>
    </font>
    <font>
      <name val="Calibri"/>
      <sz val="11"/>
    </font>
    <font>
      <name val="Calibri"/>
      <color rgb="000000FF"/>
      <sz val="11"/>
      <u val="single"/>
    </font>
    <font>
      <name val="Calibri"/>
      <b val="1"/>
      <sz val="11"/>
    </font>
  </fonts>
  <fills count="7">
    <fill>
      <patternFill/>
    </fill>
    <fill>
      <patternFill patternType="gray125"/>
    </fill>
    <fill>
      <patternFill patternType="solid">
        <fgColor rgb="002F5496"/>
        <bgColor rgb="002F5496"/>
      </patternFill>
    </fill>
    <fill>
      <patternFill patternType="solid">
        <fgColor rgb="004472C4"/>
        <bgColor rgb="004472C4"/>
      </patternFill>
    </fill>
    <fill>
      <patternFill patternType="solid">
        <fgColor rgb="00DCE6F1"/>
        <bgColor rgb="00DCE6F1"/>
      </patternFill>
    </fill>
    <fill>
      <patternFill patternType="solid">
        <fgColor rgb="00E2EFDA"/>
        <bgColor rgb="00E2EFDA"/>
      </patternFill>
    </fill>
    <fill>
      <patternFill patternType="solid">
        <fgColor rgb="00F2F2F2"/>
        <bgColor rgb="00F2F2F2"/>
      </patternFill>
    </fill>
  </fills>
  <borders count="3">
    <border>
      <left/>
      <right/>
      <top/>
      <bottom/>
      <diagonal/>
    </border>
    <border>
      <left style="thin">
        <color rgb="00D9D9D9"/>
      </left>
      <right style="thin">
        <color rgb="00D9D9D9"/>
      </right>
      <top style="thin">
        <color rgb="00D9D9D9"/>
      </top>
      <bottom style="thin">
        <color rgb="00D9D9D9"/>
      </bottom>
    </border>
    <border>
      <bottom style="medium">
        <color rgb="002F5496"/>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left" vertical="center" indent="1"/>
    </xf>
    <xf numFmtId="0" fontId="2" fillId="0" borderId="0" pivotButton="0" quotePrefix="0" xfId="0"/>
    <xf numFmtId="0" fontId="3" fillId="3" borderId="0" applyAlignment="1" pivotButton="0" quotePrefix="0" xfId="0">
      <alignment horizontal="left" vertical="center" indent="1"/>
    </xf>
    <xf numFmtId="0" fontId="4" fillId="2" borderId="0" applyAlignment="1" pivotButton="0" quotePrefix="0" xfId="0">
      <alignment horizontal="center" vertical="center"/>
    </xf>
    <xf numFmtId="0" fontId="5" fillId="0" borderId="1" applyAlignment="1" pivotButton="0" quotePrefix="0" xfId="0">
      <alignment horizontal="center" vertical="center"/>
    </xf>
    <xf numFmtId="0" fontId="5" fillId="0" borderId="1" pivotButton="0" quotePrefix="0" xfId="0"/>
    <xf numFmtId="0" fontId="6" fillId="0" borderId="1" applyAlignment="1" pivotButton="0" quotePrefix="0" xfId="0">
      <alignment horizontal="center" vertical="center"/>
    </xf>
    <xf numFmtId="0" fontId="5" fillId="4" borderId="1" applyAlignment="1" pivotButton="0" quotePrefix="0" xfId="0">
      <alignment horizontal="center" vertical="center"/>
    </xf>
    <xf numFmtId="0" fontId="5" fillId="5" borderId="1" applyAlignment="1" pivotButton="0" quotePrefix="0" xfId="0">
      <alignment horizontal="center" vertical="center"/>
    </xf>
    <xf numFmtId="0" fontId="5" fillId="6" borderId="1" applyAlignment="1" pivotButton="0" quotePrefix="0" xfId="0">
      <alignment horizontal="center" vertical="center"/>
    </xf>
    <xf numFmtId="0" fontId="4" fillId="2" borderId="1" applyAlignment="1" pivotButton="0" quotePrefix="0" xfId="0">
      <alignment horizontal="center" vertical="center"/>
    </xf>
    <xf numFmtId="0" fontId="4" fillId="3" borderId="0" applyAlignment="1" pivotButton="0" quotePrefix="0" xfId="0">
      <alignment horizontal="left" vertical="center" indent="1"/>
    </xf>
    <xf numFmtId="0" fontId="7" fillId="0" borderId="0" applyAlignment="1" pivotButton="0" quotePrefix="0" xfId="0">
      <alignment horizontal="left" vertical="center" wrapText="1"/>
    </xf>
    <xf numFmtId="3" fontId="7" fillId="5" borderId="1" applyAlignment="1" pivotButton="0" quotePrefix="0" xfId="0">
      <alignment horizontal="center" vertical="center"/>
    </xf>
    <xf numFmtId="164" fontId="7" fillId="5" borderId="1" applyAlignment="1" pivotButton="0" quotePrefix="0" xfId="0">
      <alignment horizontal="center" vertical="center"/>
    </xf>
    <xf numFmtId="0" fontId="4" fillId="2" borderId="2" applyAlignment="1" pivotButton="0" quotePrefix="0" xfId="0">
      <alignment horizontal="center" vertical="center"/>
    </xf>
    <xf numFmtId="0" fontId="5" fillId="0" borderId="1" applyAlignment="1" pivotButton="0" quotePrefix="0" xfId="0">
      <alignment horizontal="left" vertical="center" wrapText="1"/>
    </xf>
    <xf numFmtId="0" fontId="7" fillId="4" borderId="1" applyAlignment="1" pivotButton="0" quotePrefix="0" xfId="0">
      <alignment horizontal="center" vertical="center"/>
    </xf>
    <xf numFmtId="0" fontId="7" fillId="5" borderId="1" applyAlignment="1" pivotButton="0" quotePrefix="0" xfId="0">
      <alignment horizontal="center" vertical="center"/>
    </xf>
    <xf numFmtId="0" fontId="5" fillId="6"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62" customWidth="1" min="1" max="1"/>
    <col width="20" customWidth="1" min="2" max="2"/>
    <col width="63" customWidth="1" min="3" max="3"/>
    <col width="47" customWidth="1" min="4" max="4"/>
    <col width="31" customWidth="1" min="5" max="5"/>
  </cols>
  <sheetData>
    <row r="1">
      <c r="A1" s="1" t="inlineStr">
        <is>
          <t>Respiratory Module - Interactive Clinical Assessment</t>
        </is>
      </c>
    </row>
    <row r="2"/>
    <row r="3">
      <c r="A3" s="2" t="inlineStr">
        <is>
          <t>v1.0 | Generated 2026-09-28 | FP-2 Medical Exam Preparation</t>
        </is>
      </c>
    </row>
    <row r="4"/>
    <row r="5">
      <c r="A5" s="3" t="inlineStr">
        <is>
          <t>WORKBOOK OVERVIEW &amp; NAVIGATION</t>
        </is>
      </c>
    </row>
    <row r="6">
      <c r="A6" s="4" t="inlineStr">
        <is>
          <t>Tab Name</t>
        </is>
      </c>
      <c r="B6" s="4" t="inlineStr">
        <is>
          <t>Target Portal</t>
        </is>
      </c>
      <c r="C6" s="4" t="inlineStr">
        <is>
          <t>Description</t>
        </is>
      </c>
      <c r="D6" s="4" t="inlineStr">
        <is>
          <t>Interactive Link</t>
        </is>
      </c>
      <c r="E6" s="4" t="inlineStr">
        <is>
          <t>Status</t>
        </is>
      </c>
    </row>
    <row r="7">
      <c r="A7" s="5" t="inlineStr">
        <is>
          <t>Table of Contents</t>
        </is>
      </c>
      <c r="B7" s="5" t="inlineStr">
        <is>
          <t>Overview</t>
        </is>
      </c>
      <c r="C7" s="6" t="inlineStr">
        <is>
          <t>Workbook architecture, audit trails, and color legend</t>
        </is>
      </c>
      <c r="D7" s="7">
        <f>HYPERLINK("#'Table of Contents'!A1", "Go to TOC →")</f>
        <v/>
      </c>
      <c r="E7" s="5" t="inlineStr">
        <is>
          <t>Active</t>
        </is>
      </c>
    </row>
    <row r="8">
      <c r="A8" s="5" t="inlineStr">
        <is>
          <t>Interactive Quiz</t>
        </is>
      </c>
      <c r="B8" s="5" t="inlineStr">
        <is>
          <t>Student Portal</t>
        </is>
      </c>
      <c r="C8" s="6" t="inlineStr">
        <is>
          <t>30 high-yield clinical MCQs with automated real-time grading</t>
        </is>
      </c>
      <c r="D8" s="7">
        <f>HYPERLINK("#'Interactive Quiz'!A1", "Go to Quiz →")</f>
        <v/>
      </c>
      <c r="E8" s="5" t="inlineStr">
        <is>
          <t>Active</t>
        </is>
      </c>
    </row>
    <row r="9">
      <c r="A9" s="5" t="inlineStr">
        <is>
          <t>Answer Key &amp; Explanations</t>
        </is>
      </c>
      <c r="B9" s="5" t="inlineStr">
        <is>
          <t>Instructor Portal</t>
        </is>
      </c>
      <c r="C9" s="6" t="inlineStr">
        <is>
          <t>Complete answer key with detailed physiological rationales</t>
        </is>
      </c>
      <c r="D9" s="7">
        <f>HYPERLINK("#'Answer Key &amp; Explanations'!A1", "Go to Key →")</f>
        <v/>
      </c>
      <c r="E9" s="5" t="inlineStr">
        <is>
          <t>Active</t>
        </is>
      </c>
    </row>
    <row r="10"/>
    <row r="11"/>
    <row r="12">
      <c r="A12" s="3" t="inlineStr">
        <is>
          <t>COLOR CODING &amp; FORMATTING LEGEND</t>
        </is>
      </c>
    </row>
    <row r="13">
      <c r="A13" s="4" t="inlineStr">
        <is>
          <t>Color Fill</t>
        </is>
      </c>
      <c r="B13" s="4" t="inlineStr">
        <is>
          <t>Hex Code</t>
        </is>
      </c>
      <c r="C13" s="4" t="inlineStr">
        <is>
          <t>Role / Cell Function</t>
        </is>
      </c>
      <c r="D13" s="4" t="inlineStr">
        <is>
          <t>User Action Required</t>
        </is>
      </c>
      <c r="E13" s="4" t="inlineStr">
        <is>
          <t>Examples</t>
        </is>
      </c>
    </row>
    <row r="14">
      <c r="A14" s="8" t="inlineStr">
        <is>
          <t>Light Blue</t>
        </is>
      </c>
      <c r="B14" s="5" t="inlineStr">
        <is>
          <t>#DCE6F1</t>
        </is>
      </c>
      <c r="C14" s="6" t="inlineStr">
        <is>
          <t>Student Input Cells</t>
        </is>
      </c>
      <c r="D14" s="6" t="inlineStr">
        <is>
          <t>Select option A, B, C, D, or E from dropdown</t>
        </is>
      </c>
      <c r="E14" s="6" t="inlineStr">
        <is>
          <t>Column H in Quiz Tab</t>
        </is>
      </c>
    </row>
    <row r="15">
      <c r="A15" s="9" t="inlineStr">
        <is>
          <t>Light Green</t>
        </is>
      </c>
      <c r="B15" s="5" t="inlineStr">
        <is>
          <t>#E2EFDA</t>
        </is>
      </c>
      <c r="C15" s="6" t="inlineStr">
        <is>
          <t>Automated Formula Cells</t>
        </is>
      </c>
      <c r="D15" s="6" t="inlineStr">
        <is>
          <t>Read-only computed score and real-time grade</t>
        </is>
      </c>
      <c r="E15" s="6" t="inlineStr">
        <is>
          <t>Scorecard &amp; Column I in Quiz</t>
        </is>
      </c>
    </row>
    <row r="16">
      <c r="A16" s="10" t="inlineStr">
        <is>
          <t>Zebra Gray</t>
        </is>
      </c>
      <c r="B16" s="5" t="inlineStr">
        <is>
          <t>#F2F2F2</t>
        </is>
      </c>
      <c r="C16" s="6" t="inlineStr">
        <is>
          <t>Alternate Read-Only Rows</t>
        </is>
      </c>
      <c r="D16" s="6" t="inlineStr">
        <is>
          <t>Read-only question and option text</t>
        </is>
      </c>
      <c r="E16" s="6" t="inlineStr">
        <is>
          <t>Even rows in Quiz Tab</t>
        </is>
      </c>
    </row>
    <row r="17">
      <c r="A17" s="11" t="inlineStr">
        <is>
          <t>Clinical Navy</t>
        </is>
      </c>
      <c r="B17" s="5" t="inlineStr">
        <is>
          <t>#2F5496</t>
        </is>
      </c>
      <c r="C17" s="6" t="inlineStr">
        <is>
          <t>Headers &amp; Banners</t>
        </is>
      </c>
      <c r="D17" s="6" t="inlineStr">
        <is>
          <t>Visual anchors and section headers</t>
        </is>
      </c>
      <c r="E17" s="6" t="inlineStr">
        <is>
          <t>Header banner rows</t>
        </is>
      </c>
    </row>
  </sheetData>
  <mergeCells count="3">
    <mergeCell ref="A5:E5"/>
    <mergeCell ref="A1:E2"/>
    <mergeCell ref="A12:E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8"/>
  <sheetViews>
    <sheetView showGridLines="0" workbookViewId="0">
      <selection activeCell="A1" sqref="A1"/>
    </sheetView>
  </sheetViews>
  <sheetFormatPr baseColWidth="8" defaultRowHeight="15"/>
  <cols>
    <col width="6" customWidth="1" min="1" max="1"/>
    <col width="25" customWidth="1" min="2" max="2"/>
    <col width="45" customWidth="1" min="3" max="3"/>
    <col width="28" customWidth="1" min="4" max="4"/>
    <col width="28" customWidth="1" min="5" max="5"/>
    <col width="28" customWidth="1" min="6" max="6"/>
    <col width="28" customWidth="1" min="7" max="7"/>
    <col width="28" customWidth="1" min="8" max="8"/>
    <col width="15" customWidth="1" min="9" max="9"/>
    <col width="22" customWidth="1" min="10" max="10"/>
  </cols>
  <sheetData>
    <row r="1">
      <c r="A1" s="1" t="inlineStr">
        <is>
          <t>Respiratory System - Interactive Medical Board Exam Quiz</t>
        </is>
      </c>
    </row>
    <row r="2"/>
    <row r="3">
      <c r="A3" s="12" t="inlineStr">
        <is>
          <t>AUTOMATED STUDENT SCORECARD</t>
        </is>
      </c>
    </row>
    <row r="4">
      <c r="A4" s="13" t="inlineStr">
        <is>
          <t>Questions Attempted:</t>
        </is>
      </c>
      <c r="B4" s="14">
        <f>COUNTA(H9:H38)</f>
        <v/>
      </c>
    </row>
    <row r="5">
      <c r="A5" s="13" t="inlineStr">
        <is>
          <t>Correct Answers:</t>
        </is>
      </c>
      <c r="B5" s="14">
        <f>COUNTIF(I9:I38, "*Correct*")</f>
        <v/>
      </c>
    </row>
    <row r="6">
      <c r="A6" s="13" t="inlineStr">
        <is>
          <t>Overall Grade (%):</t>
        </is>
      </c>
      <c r="B6" s="15">
        <f>IF(B4=0, 0, B5/30)</f>
        <v/>
      </c>
    </row>
    <row r="7"/>
    <row r="8" ht="28" customHeight="1">
      <c r="A8" s="16" t="inlineStr">
        <is>
          <t>Q#</t>
        </is>
      </c>
      <c r="B8" s="16" t="inlineStr">
        <is>
          <t>System / Topic Focus</t>
        </is>
      </c>
      <c r="C8" s="16" t="inlineStr">
        <is>
          <t>Clinical Case Vignette / Question</t>
        </is>
      </c>
      <c r="D8" s="16" t="inlineStr">
        <is>
          <t>Option A</t>
        </is>
      </c>
      <c r="E8" s="16" t="inlineStr">
        <is>
          <t>Option B</t>
        </is>
      </c>
      <c r="F8" s="16" t="inlineStr">
        <is>
          <t>Option C</t>
        </is>
      </c>
      <c r="G8" s="16" t="inlineStr">
        <is>
          <t>Option D</t>
        </is>
      </c>
      <c r="H8" s="16" t="inlineStr">
        <is>
          <t>Option E</t>
        </is>
      </c>
      <c r="I8" s="16" t="inlineStr">
        <is>
          <t>Your Answer</t>
        </is>
      </c>
      <c r="J8" s="16" t="inlineStr">
        <is>
          <t>Real-Time Grade</t>
        </is>
      </c>
    </row>
    <row r="9">
      <c r="A9" s="5" t="n">
        <v>1</v>
      </c>
      <c r="B9" s="17" t="inlineStr">
        <is>
          <t>Acute Severe Asthma - Red Flags</t>
        </is>
      </c>
      <c r="C9" s="17" t="inlineStr">
        <is>
          <t>A 24-year-old asthmatic presents to the ER with severe breathlessness. On exam: HR 128 bpm, RR 32/min, PEFR 40% of predicted, unable to complete sentences in one breath. Which finding represents a life-threatening feature requiring immediate ICU consultation?</t>
        </is>
      </c>
      <c r="D9" s="17" t="inlineStr">
        <is>
          <t>Pulsus paradoxus &gt; 15 mmHg</t>
        </is>
      </c>
      <c r="E9" s="17" t="inlineStr">
        <is>
          <t>Silent chest with absence of wheeze and cyanosis</t>
        </is>
      </c>
      <c r="F9" s="17" t="inlineStr">
        <is>
          <t>PEFR of 40% predicted</t>
        </is>
      </c>
      <c r="G9" s="17" t="inlineStr">
        <is>
          <t>Tachycardia of 128 bpm</t>
        </is>
      </c>
      <c r="H9" s="17" t="inlineStr">
        <is>
          <t>Use of accessory neck muscles</t>
        </is>
      </c>
      <c r="I9" s="18" t="n"/>
      <c r="J9" s="19">
        <f>IF(ISBLANK(I9), "", IF(I9='Answer Key &amp; Explanations'!C4, "✅ Correct", "❌ Incorrect (See Key)"))</f>
        <v/>
      </c>
    </row>
    <row r="10">
      <c r="A10" s="10" t="n">
        <v>2</v>
      </c>
      <c r="B10" s="20" t="inlineStr">
        <is>
          <t>Acute Severe Asthma - Emergency Tx</t>
        </is>
      </c>
      <c r="C10" s="20" t="inlineStr">
        <is>
          <t>In the immediate emergency management of acute severe asthma unresponsive to initial nebulized SABA, which pharmacological agent should be added NEXT to inhaled therapy?</t>
        </is>
      </c>
      <c r="D10" s="20" t="inlineStr">
        <is>
          <t>Oral Montelukast</t>
        </is>
      </c>
      <c r="E10" s="20" t="inlineStr">
        <is>
          <t>Inhaled SAMA (Ipratropium bromide)</t>
        </is>
      </c>
      <c r="F10" s="20" t="inlineStr">
        <is>
          <t>IV Aminophylline infusion</t>
        </is>
      </c>
      <c r="G10" s="20" t="inlineStr">
        <is>
          <t>Subcutaneous Epinephrine</t>
        </is>
      </c>
      <c r="H10" s="20" t="inlineStr">
        <is>
          <t>Inhaled Fluticasone high dose</t>
        </is>
      </c>
      <c r="I10" s="18" t="n"/>
      <c r="J10" s="19">
        <f>IF(ISBLANK(I10), "", IF(I10='Answer Key &amp; Explanations'!C5, "✅ Correct", "❌ Incorrect (See Key)"))</f>
        <v/>
      </c>
    </row>
    <row r="11">
      <c r="A11" s="5" t="n">
        <v>3</v>
      </c>
      <c r="B11" s="17" t="inlineStr">
        <is>
          <t>Asthma vs COPD - Spirometry</t>
        </is>
      </c>
      <c r="C11" s="17" t="inlineStr">
        <is>
          <t>Which spirometric parameter best distinguishes Bronchial Asthma from COPD in a patient presenting with chronic dyspnea and wheezing?</t>
        </is>
      </c>
      <c r="D11" s="17" t="inlineStr">
        <is>
          <t>FEV1/FVC &lt; 0.70 pre-bronchodilator</t>
        </is>
      </c>
      <c r="E11" s="17" t="inlineStr">
        <is>
          <t>Reversibility with &gt; 12% and &gt; 200 mL increase in FEV1 post-SABA</t>
        </is>
      </c>
      <c r="F11" s="17" t="inlineStr">
        <is>
          <t>Decreased Forced Vital Capacity (FVC)</t>
        </is>
      </c>
      <c r="G11" s="17" t="inlineStr">
        <is>
          <t>Elevated Total Lung Capacity (TLC)</t>
        </is>
      </c>
      <c r="H11" s="17" t="inlineStr">
        <is>
          <t>Reduced Diffusing Capacity (DLCO)</t>
        </is>
      </c>
      <c r="I11" s="18" t="n"/>
      <c r="J11" s="19">
        <f>IF(ISBLANK(I11), "", IF(I11='Answer Key &amp; Explanations'!C6, "✅ Correct", "❌ Incorrect (See Key)"))</f>
        <v/>
      </c>
    </row>
    <row r="12">
      <c r="A12" s="10" t="n">
        <v>4</v>
      </c>
      <c r="B12" s="20" t="inlineStr">
        <is>
          <t>COPD Exacerbation - Oxygen Target</t>
        </is>
      </c>
      <c r="C12" s="20" t="inlineStr">
        <is>
          <t>A 68-year-old long-term smoker with severe COPD presents with an acute exacerbation and drowsy mental status. ABG shows PaO2 52 mmHg, PaCO2 62 mmHg, pH 7.28. What is the target SpO2 for oxygen therapy?</t>
        </is>
      </c>
      <c r="D12" s="20" t="inlineStr">
        <is>
          <t>95 - 100%</t>
        </is>
      </c>
      <c r="E12" s="20" t="inlineStr">
        <is>
          <t>88 - 92%</t>
        </is>
      </c>
      <c r="F12" s="20" t="inlineStr">
        <is>
          <t>92 - 96%</t>
        </is>
      </c>
      <c r="G12" s="20" t="inlineStr">
        <is>
          <t>&gt; 98%</t>
        </is>
      </c>
      <c r="H12" s="20" t="inlineStr">
        <is>
          <t>80 - 85%</t>
        </is>
      </c>
      <c r="I12" s="18" t="n"/>
      <c r="J12" s="19">
        <f>IF(ISBLANK(I12), "", IF(I12='Answer Key &amp; Explanations'!C7, "✅ Correct", "❌ Incorrect (See Key)"))</f>
        <v/>
      </c>
    </row>
    <row r="13">
      <c r="A13" s="5" t="n">
        <v>5</v>
      </c>
      <c r="B13" s="17" t="inlineStr">
        <is>
          <t>COPD Exacerbation - NIV Indications</t>
        </is>
      </c>
      <c r="C13" s="17" t="inlineStr">
        <is>
          <t>In an acute exacerbation of COPD with hypercapnic respiratory failure, which finding is the primary indication for initiating Non-Invasive Ventilation (NIV / BiPAP)?</t>
        </is>
      </c>
      <c r="D13" s="17" t="inlineStr">
        <is>
          <t>PaO2 &lt; 60 mmHg despite low-flow O2</t>
        </is>
      </c>
      <c r="E13" s="17" t="inlineStr">
        <is>
          <t>Persistent respiratory acidosis (pH &lt; 7.35, PaCO2 &gt; 45 mmHg) despite optimal medical therapy</t>
        </is>
      </c>
      <c r="F13" s="17" t="inlineStr">
        <is>
          <t>Sputum purulence and high fever</t>
        </is>
      </c>
      <c r="G13" s="17" t="inlineStr">
        <is>
          <t>FEV1 &lt; 30% of predicted</t>
        </is>
      </c>
      <c r="H13" s="17" t="inlineStr">
        <is>
          <t>Presence of bilateral ankle edema</t>
        </is>
      </c>
      <c r="I13" s="18" t="n"/>
      <c r="J13" s="19">
        <f>IF(ISBLANK(I13), "", IF(I13='Answer Key &amp; Explanations'!C8, "✅ Correct", "❌ Incorrect (See Key)"))</f>
        <v/>
      </c>
    </row>
    <row r="14">
      <c r="A14" s="10" t="n">
        <v>6</v>
      </c>
      <c r="B14" s="20" t="inlineStr">
        <is>
          <t>Pneumonia - CURB-65 Scoring</t>
        </is>
      </c>
      <c r="C14" s="20" t="inlineStr">
        <is>
          <t>A 72-year-old man presents with fever, productive cough, and confusion. Labs: Urea 9.2 mmol/L, RR 34/min, BP 85/50 mmHg. What is his CURB-65 score and recommended site of care?</t>
        </is>
      </c>
      <c r="D14" s="20" t="inlineStr">
        <is>
          <t>Score 2 - Outpatient oral antibiotics</t>
        </is>
      </c>
      <c r="E14" s="20" t="inlineStr">
        <is>
          <t>Score 3 - Inpatient hospital admission (consider ICU)</t>
        </is>
      </c>
      <c r="F14" s="20" t="inlineStr">
        <is>
          <t>Score 4 - Immediate ICU admission</t>
        </is>
      </c>
      <c r="G14" s="20" t="inlineStr">
        <is>
          <t>Score 1 - Outpatient oral antibiotics</t>
        </is>
      </c>
      <c r="H14" s="20" t="inlineStr">
        <is>
          <t>Score 5 - Immediate ICU admission</t>
        </is>
      </c>
      <c r="I14" s="18" t="n"/>
      <c r="J14" s="19">
        <f>IF(ISBLANK(I14), "", IF(I14='Answer Key &amp; Explanations'!C9, "✅ Correct", "❌ Incorrect (See Key)"))</f>
        <v/>
      </c>
    </row>
    <row r="15">
      <c r="A15" s="5" t="n">
        <v>7</v>
      </c>
      <c r="B15" s="17" t="inlineStr">
        <is>
          <t>Community-Acquired Pneumonia - Organisms</t>
        </is>
      </c>
      <c r="C15" s="17" t="inlineStr">
        <is>
          <t>What is the single most common bacterial pathogen causing Community-Acquired Pneumonia (CAP) across all age groups?</t>
        </is>
      </c>
      <c r="D15" s="17" t="inlineStr">
        <is>
          <t>Haemophilus influenzae</t>
        </is>
      </c>
      <c r="E15" s="17" t="inlineStr">
        <is>
          <t>Mycoplasma pneumoniae</t>
        </is>
      </c>
      <c r="F15" s="17" t="inlineStr">
        <is>
          <t>Streptococcus pneumoniae</t>
        </is>
      </c>
      <c r="G15" s="17" t="inlineStr">
        <is>
          <t>Legionella pneumophila</t>
        </is>
      </c>
      <c r="H15" s="17" t="inlineStr">
        <is>
          <t>Staphylococcus aureus</t>
        </is>
      </c>
      <c r="I15" s="18" t="n"/>
      <c r="J15" s="19">
        <f>IF(ISBLANK(I15), "", IF(I15='Answer Key &amp; Explanations'!C10, "✅ Correct", "❌ Incorrect (See Key)"))</f>
        <v/>
      </c>
    </row>
    <row r="16">
      <c r="A16" s="10" t="n">
        <v>8</v>
      </c>
      <c r="B16" s="20" t="inlineStr">
        <is>
          <t>Atypical Pneumonia - Features</t>
        </is>
      </c>
      <c r="C16" s="20" t="inlineStr">
        <is>
          <t>A 22-year-old college student presents with dry cough, low-grade fever, headache, myalgias, and hemolytic anemia (cold agglutinins). CXR reveals patchy bilateral interstitial infiltrates. What is the most likely pathogen?</t>
        </is>
      </c>
      <c r="D16" s="20" t="inlineStr">
        <is>
          <t>Streptococcus pneumoniae</t>
        </is>
      </c>
      <c r="E16" s="20" t="inlineStr">
        <is>
          <t>Mycoplasma pneumoniae</t>
        </is>
      </c>
      <c r="F16" s="20" t="inlineStr">
        <is>
          <t>Klebsiella pneumoniae</t>
        </is>
      </c>
      <c r="G16" s="20" t="inlineStr">
        <is>
          <t>Pseudomonas aeruginosa</t>
        </is>
      </c>
      <c r="H16" s="20" t="inlineStr">
        <is>
          <t>Mycobacterium tuberculosis</t>
        </is>
      </c>
      <c r="I16" s="18" t="n"/>
      <c r="J16" s="19">
        <f>IF(ISBLANK(I16), "", IF(I16='Answer Key &amp; Explanations'!C11, "✅ Correct", "❌ Incorrect (See Key)"))</f>
        <v/>
      </c>
    </row>
    <row r="17">
      <c r="A17" s="5" t="n">
        <v>9</v>
      </c>
      <c r="B17" s="17" t="inlineStr">
        <is>
          <t>Tuberculosis - Primary Diagnosis</t>
        </is>
      </c>
      <c r="C17" s="17" t="inlineStr">
        <is>
          <t>Which initial rapid diagnostic test recommended by WHO directly detects Mycobacterium tuberculosis DNA and Rifampicin resistance within 2 hours?</t>
        </is>
      </c>
      <c r="D17" s="17" t="inlineStr">
        <is>
          <t>Sputum Acid-Fast Bacilli (AFB) smear</t>
        </is>
      </c>
      <c r="E17" s="17" t="inlineStr">
        <is>
          <t>Tuberculin Skin Test (Mantoux)</t>
        </is>
      </c>
      <c r="F17" s="17" t="inlineStr">
        <is>
          <t>GeneXpert MTB/RIF assay</t>
        </is>
      </c>
      <c r="G17" s="17" t="inlineStr">
        <is>
          <t>Interferon-Gamma Release Assay (IGRA)</t>
        </is>
      </c>
      <c r="H17" s="17" t="inlineStr">
        <is>
          <t>Sputum Lowenstein-Jensen culture</t>
        </is>
      </c>
      <c r="I17" s="18" t="n"/>
      <c r="J17" s="19">
        <f>IF(ISBLANK(I17), "", IF(I17='Answer Key &amp; Explanations'!C12, "✅ Correct", "❌ Incorrect (See Key)"))</f>
        <v/>
      </c>
    </row>
    <row r="18">
      <c r="A18" s="10" t="n">
        <v>10</v>
      </c>
      <c r="B18" s="20" t="inlineStr">
        <is>
          <t>Tuberculosis - Anti-TB Toxicity</t>
        </is>
      </c>
      <c r="C18" s="20" t="inlineStr">
        <is>
          <t>A patient on anti-tuberculous therapy (RHZE) complains of tingling, numbness, and burning pain in both feet (peripheral neuropathy). Which medication is responsible and how is it prevented?</t>
        </is>
      </c>
      <c r="D18" s="20" t="inlineStr">
        <is>
          <t>Rifampicin; prevent with Vitamin B12</t>
        </is>
      </c>
      <c r="E18" s="20" t="inlineStr">
        <is>
          <t>Isoniazid; prevent with Pyridoxine (Vitamin B6)</t>
        </is>
      </c>
      <c r="F18" s="20" t="inlineStr">
        <is>
          <t>Ethambutol; prevent with Vitamin C</t>
        </is>
      </c>
      <c r="G18" s="20" t="inlineStr">
        <is>
          <t>Pyrazinamide; prevent with Allopurinol</t>
        </is>
      </c>
      <c r="H18" s="20" t="inlineStr">
        <is>
          <t>Streptomycin; prevent with Calcium</t>
        </is>
      </c>
      <c r="I18" s="18" t="n"/>
      <c r="J18" s="19">
        <f>IF(ISBLANK(I18), "", IF(I18='Answer Key &amp; Explanations'!C13, "✅ Correct", "❌ Incorrect (See Key)"))</f>
        <v/>
      </c>
    </row>
    <row r="19">
      <c r="A19" s="5" t="n">
        <v>11</v>
      </c>
      <c r="B19" s="17" t="inlineStr">
        <is>
          <t>Tuberculosis - Side Effect Profile</t>
        </is>
      </c>
      <c r="C19" s="17" t="inlineStr">
        <is>
          <t>Which anti-TB medication is specifically associated with optic neuritis presenting as decreased visual acuity and red-green color blindness?</t>
        </is>
      </c>
      <c r="D19" s="17" t="inlineStr">
        <is>
          <t>Rifampicin</t>
        </is>
      </c>
      <c r="E19" s="17" t="inlineStr">
        <is>
          <t>Isoniazid</t>
        </is>
      </c>
      <c r="F19" s="17" t="inlineStr">
        <is>
          <t>Ethambutol</t>
        </is>
      </c>
      <c r="G19" s="17" t="inlineStr">
        <is>
          <t>Pyrazinamide</t>
        </is>
      </c>
      <c r="H19" s="17" t="inlineStr">
        <is>
          <t>Streptomycin</t>
        </is>
      </c>
      <c r="I19" s="18" t="n"/>
      <c r="J19" s="19">
        <f>IF(ISBLANK(I19), "", IF(I19='Answer Key &amp; Explanations'!C14, "✅ Correct", "❌ Incorrect (See Key)"))</f>
        <v/>
      </c>
    </row>
    <row r="20">
      <c r="A20" s="10" t="n">
        <v>12</v>
      </c>
      <c r="B20" s="20" t="inlineStr">
        <is>
          <t>Pleural Effusion - Light's Criteria</t>
        </is>
      </c>
      <c r="C20" s="20" t="inlineStr">
        <is>
          <t>Pleural fluid analysis reveals: Pleural/Serum Protein ratio 0.65, Pleural/Serum LDH ratio 0.80. How is this fluid classified and what is the most likely etiology?</t>
        </is>
      </c>
      <c r="D20" s="20" t="inlineStr">
        <is>
          <t>Transudate; Congestive Heart Failure</t>
        </is>
      </c>
      <c r="E20" s="20" t="inlineStr">
        <is>
          <t>Exudate; Bacterial Pneumonia or Tuberculosis</t>
        </is>
      </c>
      <c r="F20" s="20" t="inlineStr">
        <is>
          <t>Transudate; Cirrhosis with hydrothorax</t>
        </is>
      </c>
      <c r="G20" s="20" t="inlineStr">
        <is>
          <t>Transudate; Nephrotic Syndrome</t>
        </is>
      </c>
      <c r="H20" s="20" t="inlineStr">
        <is>
          <t>Exudate; Hypothyroidism</t>
        </is>
      </c>
      <c r="I20" s="18" t="n"/>
      <c r="J20" s="19">
        <f>IF(ISBLANK(I20), "", IF(I20='Answer Key &amp; Explanations'!C15, "✅ Correct", "❌ Incorrect (See Key)"))</f>
        <v/>
      </c>
    </row>
    <row r="21">
      <c r="A21" s="5" t="n">
        <v>13</v>
      </c>
      <c r="B21" s="17" t="inlineStr">
        <is>
          <t>Pleural Effusion - Physical Exam</t>
        </is>
      </c>
      <c r="C21" s="17" t="inlineStr">
        <is>
          <t>On physical examination of the chest, which combination of signs is pathognomonic for a large pleural effusion on the affected side?</t>
        </is>
      </c>
      <c r="D21" s="17" t="inlineStr">
        <is>
          <t>Hyper-resonant percussion, elevated breath sounds, increased vocal fremitus</t>
        </is>
      </c>
      <c r="E21" s="17" t="inlineStr">
        <is>
          <t>Stony dull percussion, absent breath sounds, reduced vocal resonance</t>
        </is>
      </c>
      <c r="F21" s="17" t="inlineStr">
        <is>
          <t>Dull percussion, bronchial breathing, increased vocal resonance</t>
        </is>
      </c>
      <c r="G21" s="17" t="inlineStr">
        <is>
          <t>Tympanitic percussion, vesicular breathing, crepitations</t>
        </is>
      </c>
      <c r="H21" s="17" t="inlineStr">
        <is>
          <t>Resonant percussion, wheezing, friction rub</t>
        </is>
      </c>
      <c r="I21" s="18" t="n"/>
      <c r="J21" s="19">
        <f>IF(ISBLANK(I21), "", IF(I21='Answer Key &amp; Explanations'!C16, "✅ Correct", "❌ Incorrect (See Key)"))</f>
        <v/>
      </c>
    </row>
    <row r="22">
      <c r="A22" s="10" t="n">
        <v>14</v>
      </c>
      <c r="B22" s="20" t="inlineStr">
        <is>
          <t>Tension Pneumothorax - Emergency Tx</t>
        </is>
      </c>
      <c r="C22" s="20" t="inlineStr">
        <is>
          <t>A 30-year-old trauma victim develops severe respiratory distress, cyanosis, tracheal deviation to the left, and hyper-resonance with absent breath sounds on the right. BP is 70/40 mmHg. What is the immediate life-saving intervention?</t>
        </is>
      </c>
      <c r="D22" s="20" t="inlineStr">
        <is>
          <t>Urgent CT scan of the chest</t>
        </is>
      </c>
      <c r="E22" s="20" t="inlineStr">
        <is>
          <t>Immediate needle decompression with 14G cannula in 2nd ICS anterior mid-clavicular line</t>
        </is>
      </c>
      <c r="F22" s="20" t="inlineStr">
        <is>
          <t>Order an urgent portable chest X-ray</t>
        </is>
      </c>
      <c r="G22" s="20" t="inlineStr">
        <is>
          <t>Endotracheal intubation and positive pressure ventilation</t>
        </is>
      </c>
      <c r="H22" s="20" t="inlineStr">
        <is>
          <t>Administer high-dose IV methylprednisolone</t>
        </is>
      </c>
      <c r="I22" s="18" t="n"/>
      <c r="J22" s="19">
        <f>IF(ISBLANK(I22), "", IF(I22='Answer Key &amp; Explanations'!C17, "✅ Correct", "❌ Incorrect (See Key)"))</f>
        <v/>
      </c>
    </row>
    <row r="23">
      <c r="A23" s="5" t="n">
        <v>15</v>
      </c>
      <c r="B23" s="17" t="inlineStr">
        <is>
          <t>Spontaneous Pneumothorax - Management</t>
        </is>
      </c>
      <c r="C23" s="17" t="inlineStr">
        <is>
          <t>A tall, thin 21-year-old male presents with sudden right-sided pleuritic chest pain. CXR shows a 1.5 cm rim of air (small pneumothorax) without mediastinal shift or respiratory distress. What is the appropriate initial management?</t>
        </is>
      </c>
      <c r="D23" s="17" t="inlineStr">
        <is>
          <t>Immediate intercostal chest tube insertion</t>
        </is>
      </c>
      <c r="E23" s="17" t="inlineStr">
        <is>
          <t>Needle aspiration of pleural air</t>
        </is>
      </c>
      <c r="F23" s="17" t="inlineStr">
        <is>
          <t>Conservative management with observation and supplemental oxygen</t>
        </is>
      </c>
      <c r="G23" s="17" t="inlineStr">
        <is>
          <t>Surgical pleurodesis</t>
        </is>
      </c>
      <c r="H23" s="17" t="inlineStr">
        <is>
          <t>Thoracotomy</t>
        </is>
      </c>
      <c r="I23" s="18" t="n"/>
      <c r="J23" s="19">
        <f>IF(ISBLANK(I23), "", IF(I23='Answer Key &amp; Explanations'!C18, "✅ Correct", "❌ Incorrect (See Key)"))</f>
        <v/>
      </c>
    </row>
    <row r="24">
      <c r="A24" s="10" t="n">
        <v>16</v>
      </c>
      <c r="B24" s="20" t="inlineStr">
        <is>
          <t>Haemoptysis - Massive Definition &amp; Tx</t>
        </is>
      </c>
      <c r="C24" s="20" t="inlineStr">
        <is>
          <t>Massive hemoptysis is clinically defined by bleeding volume exceeding 100 - 600 mL in 24 hours. What is the primary cause of death in massive hemoptysis?</t>
        </is>
      </c>
      <c r="D24" s="20" t="inlineStr">
        <is>
          <t>Exsanguination and hemorrhagic shock</t>
        </is>
      </c>
      <c r="E24" s="20" t="inlineStr">
        <is>
          <t>Asphyxiation due to airway flooding and blood clot obstruction</t>
        </is>
      </c>
      <c r="F24" s="20" t="inlineStr">
        <is>
          <t>Myocardial infarction</t>
        </is>
      </c>
      <c r="G24" s="20" t="inlineStr">
        <is>
          <t>Septic shock</t>
        </is>
      </c>
      <c r="H24" s="20" t="inlineStr">
        <is>
          <t>Systemic air embolism</t>
        </is>
      </c>
      <c r="I24" s="18" t="n"/>
      <c r="J24" s="19">
        <f>IF(ISBLANK(I24), "", IF(I24='Answer Key &amp; Explanations'!C19, "✅ Correct", "❌ Incorrect (See Key)"))</f>
        <v/>
      </c>
    </row>
    <row r="25">
      <c r="A25" s="5" t="n">
        <v>17</v>
      </c>
      <c r="B25" s="17" t="inlineStr">
        <is>
          <t>Massive Haemoptysis - Patient Positioning</t>
        </is>
      </c>
      <c r="C25" s="17" t="inlineStr">
        <is>
          <t>When managing a conscious patient with massive hemoptysis from a localized right lung lesion, how should the patient be positioned to protect the contralateral lung?</t>
        </is>
      </c>
      <c r="D25" s="17" t="inlineStr">
        <is>
          <t>Left lateral decubitus position (bleeding lung up)</t>
        </is>
      </c>
      <c r="E25" s="17" t="inlineStr">
        <is>
          <t>Right lateral decubitus position (bleeding lung down)</t>
        </is>
      </c>
      <c r="F25" s="17" t="inlineStr">
        <is>
          <t>Supine position with legs elevated</t>
        </is>
      </c>
      <c r="G25" s="17" t="inlineStr">
        <is>
          <t>Trendelenburg position</t>
        </is>
      </c>
      <c r="H25" s="17" t="inlineStr">
        <is>
          <t>Prone position</t>
        </is>
      </c>
      <c r="I25" s="18" t="n"/>
      <c r="J25" s="19">
        <f>IF(ISBLANK(I25), "", IF(I25='Answer Key &amp; Explanations'!C20, "✅ Correct", "❌ Incorrect (See Key)"))</f>
        <v/>
      </c>
    </row>
    <row r="26">
      <c r="A26" s="10" t="n">
        <v>18</v>
      </c>
      <c r="B26" s="20" t="inlineStr">
        <is>
          <t>Type 1 vs Type 2 Respiratory Failure</t>
        </is>
      </c>
      <c r="C26" s="20" t="inlineStr">
        <is>
          <t>An Arterial Blood Gas (ABG) demonstrates PaO2 50 mmHg, PaCO2 32 mmHg, pH 7.48. Which type of respiratory failure is present and what is a classic underlying cause?</t>
        </is>
      </c>
      <c r="D26" s="20" t="inlineStr">
        <is>
          <t>Type 2 Hypercapnic; COPD exacerbation</t>
        </is>
      </c>
      <c r="E26" s="20" t="inlineStr">
        <is>
          <t>Type 1 Hypoxemic; Pulmonary Embolism or Pneumonia</t>
        </is>
      </c>
      <c r="F26" s="20" t="inlineStr">
        <is>
          <t>Type 2 Hypercapnic; Opioid overdose</t>
        </is>
      </c>
      <c r="G26" s="20" t="inlineStr">
        <is>
          <t>Type 1 Hypoxemic; Guillain-Barre Syndrome</t>
        </is>
      </c>
      <c r="H26" s="20" t="inlineStr">
        <is>
          <t>Normal ABG</t>
        </is>
      </c>
      <c r="I26" s="18" t="n"/>
      <c r="J26" s="19">
        <f>IF(ISBLANK(I26), "", IF(I26='Answer Key &amp; Explanations'!C21, "✅ Correct", "❌ Incorrect (See Key)"))</f>
        <v/>
      </c>
    </row>
    <row r="27">
      <c r="A27" s="5" t="n">
        <v>19</v>
      </c>
      <c r="B27" s="17" t="inlineStr">
        <is>
          <t>Type 2 Respiratory Failure - Clinical Signs</t>
        </is>
      </c>
      <c r="C27" s="17" t="inlineStr">
        <is>
          <t>Which clinical sign is specifically indicative of severe CO2 retention (hypercapnia) in a patient with Type 2 respiratory failure?</t>
        </is>
      </c>
      <c r="D27" s="17" t="inlineStr">
        <is>
          <t>Central cyanosis of the tongue</t>
        </is>
      </c>
      <c r="E27" s="17" t="inlineStr">
        <is>
          <t>Coarse flapping tremor (asterixis) and bounding pulse</t>
        </is>
      </c>
      <c r="F27" s="17" t="inlineStr">
        <is>
          <t>Clubbing of the fingernails</t>
        </is>
      </c>
      <c r="G27" s="17" t="inlineStr">
        <is>
          <t>Pulsus paradoxus</t>
        </is>
      </c>
      <c r="H27" s="17" t="inlineStr">
        <is>
          <t>Fine inspiratory crackles</t>
        </is>
      </c>
      <c r="I27" s="18" t="n"/>
      <c r="J27" s="19">
        <f>IF(ISBLANK(I27), "", IF(I27='Answer Key &amp; Explanations'!C22, "✅ Correct", "❌ Incorrect (See Key)"))</f>
        <v/>
      </c>
    </row>
    <row r="28">
      <c r="A28" s="10" t="n">
        <v>20</v>
      </c>
      <c r="B28" s="20" t="inlineStr">
        <is>
          <t>Pulmonary Embolism - Wells Score &amp; Dx</t>
        </is>
      </c>
      <c r="C28" s="20" t="inlineStr">
        <is>
          <t>A 55-year-old female 5 days post-total hip replacement presents with sudden dyspnea, pleuritic chest pain, and HR 115 bpm. Wells score is 6.5 (high probability). What is the definitive diagnostic imaging test of choice?</t>
        </is>
      </c>
      <c r="D28" s="20" t="inlineStr">
        <is>
          <t>D-dimer assay</t>
        </is>
      </c>
      <c r="E28" s="20" t="inlineStr">
        <is>
          <t>CT Pulmonary Angiography (CTPA)</t>
        </is>
      </c>
      <c r="F28" s="20" t="inlineStr">
        <is>
          <t>Chest X-ray</t>
        </is>
      </c>
      <c r="G28" s="20" t="inlineStr">
        <is>
          <t>Transthoracic Echocardiogram</t>
        </is>
      </c>
      <c r="H28" s="20" t="inlineStr">
        <is>
          <t>Venous Doppler Ultrasound of lower limbs</t>
        </is>
      </c>
      <c r="I28" s="18" t="n"/>
      <c r="J28" s="19">
        <f>IF(ISBLANK(I28), "", IF(I28='Answer Key &amp; Explanations'!C23, "✅ Correct", "❌ Incorrect (See Key)"))</f>
        <v/>
      </c>
    </row>
    <row r="29">
      <c r="A29" s="5" t="n">
        <v>21</v>
      </c>
      <c r="B29" s="17" t="inlineStr">
        <is>
          <t>Pulmonary Embolism - D-Dimer Utility</t>
        </is>
      </c>
      <c r="C29" s="17" t="inlineStr">
        <is>
          <t>In a patient suspected of pulmonary embolism with a LOW clinical probability (Wells score &lt;= 4), what is the role of a negative high-sensitivity D-Dimer test?</t>
        </is>
      </c>
      <c r="D29" s="17" t="inlineStr">
        <is>
          <t>Confirms diagnosis of PE requiring full anticoagulation</t>
        </is>
      </c>
      <c r="E29" s="17" t="inlineStr">
        <is>
          <t>Rules out PE with high negative predictive value, avoiding unnecessary imaging</t>
        </is>
      </c>
      <c r="F29" s="17" t="inlineStr">
        <is>
          <t>Indicates immediate thrombolytic therapy</t>
        </is>
      </c>
      <c r="G29" s="17" t="inlineStr">
        <is>
          <t>Requires follow-up CTPA in 24 hours</t>
        </is>
      </c>
      <c r="H29" s="17" t="inlineStr">
        <is>
          <t>Indicates need for IVC filter placement</t>
        </is>
      </c>
      <c r="I29" s="18" t="n"/>
      <c r="J29" s="19">
        <f>IF(ISBLANK(I29), "", IF(I29='Answer Key &amp; Explanations'!C24, "✅ Correct", "❌ Incorrect (See Key)"))</f>
        <v/>
      </c>
    </row>
    <row r="30">
      <c r="A30" s="10" t="n">
        <v>22</v>
      </c>
      <c r="B30" s="20" t="inlineStr">
        <is>
          <t>Bronchiectasis - Etiology &amp; Findings</t>
        </is>
      </c>
      <c r="C30" s="20" t="inlineStr">
        <is>
          <t>A 35-year-old patient with a history of recurrent childhood pulmonary infections presents with chronic daily cough producing copious foul-smelling purulent sputum and coarse crackles. CXR shows 'tram-track' sign. What is the diagnosis?</t>
        </is>
      </c>
      <c r="D30" s="20" t="inlineStr">
        <is>
          <t>Chronic Bronchitis</t>
        </is>
      </c>
      <c r="E30" s="20" t="inlineStr">
        <is>
          <t>Bronchiectasis</t>
        </is>
      </c>
      <c r="F30" s="20" t="inlineStr">
        <is>
          <t>Idiopathic Pulmonary Fibrosis</t>
        </is>
      </c>
      <c r="G30" s="20" t="inlineStr">
        <is>
          <t>Asthma</t>
        </is>
      </c>
      <c r="H30" s="20" t="inlineStr">
        <is>
          <t>Sarcoidosis</t>
        </is>
      </c>
      <c r="I30" s="18" t="n"/>
      <c r="J30" s="19">
        <f>IF(ISBLANK(I30), "", IF(I30='Answer Key &amp; Explanations'!C25, "✅ Correct", "❌ Incorrect (See Key)"))</f>
        <v/>
      </c>
    </row>
    <row r="31">
      <c r="A31" s="5" t="n">
        <v>23</v>
      </c>
      <c r="B31" s="17" t="inlineStr">
        <is>
          <t>Idiopathic Pulmonary Fibrosis - Features</t>
        </is>
      </c>
      <c r="C31" s="17" t="inlineStr">
        <is>
          <t>A 65-year-old male presents with progressive dry cough and exertional dyspnea. Exam: bilateral fine end-inspiratory 'Velcro-like' crackles and digital clubbing. HRCT shows bibasilar honeycombing. What is the diagnosis?</t>
        </is>
      </c>
      <c r="D31" s="17" t="inlineStr">
        <is>
          <t>Chronic Bronchitis</t>
        </is>
      </c>
      <c r="E31" s="17" t="inlineStr">
        <is>
          <t>Idiopathic Pulmonary Fibrosis (IPF)</t>
        </is>
      </c>
      <c r="F31" s="17" t="inlineStr">
        <is>
          <t>Bronchial Asthma</t>
        </is>
      </c>
      <c r="G31" s="17" t="inlineStr">
        <is>
          <t>Hypersensitivity Pneumonitis</t>
        </is>
      </c>
      <c r="H31" s="17" t="inlineStr">
        <is>
          <t>Pulmonary Tuberculosis</t>
        </is>
      </c>
      <c r="I31" s="18" t="n"/>
      <c r="J31" s="19">
        <f>IF(ISBLANK(I31), "", IF(I31='Answer Key &amp; Explanations'!C26, "✅ Correct", "❌ Incorrect (See Key)"))</f>
        <v/>
      </c>
    </row>
    <row r="32">
      <c r="A32" s="10" t="n">
        <v>24</v>
      </c>
      <c r="B32" s="20" t="inlineStr">
        <is>
          <t>Acute Severe Asthma - IV Magnesium</t>
        </is>
      </c>
      <c r="C32" s="20" t="inlineStr">
        <is>
          <t>What is the mechanism and role of IV Magnesium Sulfate (1.2 - 2.0 g IV over 20 mins) in acute severe asthma?</t>
        </is>
      </c>
      <c r="D32" s="20" t="inlineStr">
        <is>
          <t>Inhibits leukotriene synthesis in pulmonary tissues</t>
        </is>
      </c>
      <c r="E32" s="20" t="inlineStr">
        <is>
          <t>Induces vascular and bronchial smooth muscle relaxation by blocking calcium influx</t>
        </is>
      </c>
      <c r="F32" s="20" t="inlineStr">
        <is>
          <t>Suppresses systemic corticosteroid clearance</t>
        </is>
      </c>
      <c r="G32" s="20" t="inlineStr">
        <is>
          <t>Directly neutralizes IgE antibodies</t>
        </is>
      </c>
      <c r="H32" s="20" t="inlineStr">
        <is>
          <t>Stimulates beta-2 adrenergic receptor expression</t>
        </is>
      </c>
      <c r="I32" s="18" t="n"/>
      <c r="J32" s="19">
        <f>IF(ISBLANK(I32), "", IF(I32='Answer Key &amp; Explanations'!C27, "✅ Correct", "❌ Incorrect (See Key)"))</f>
        <v/>
      </c>
    </row>
    <row r="33">
      <c r="A33" s="5" t="n">
        <v>25</v>
      </c>
      <c r="B33" s="17" t="inlineStr">
        <is>
          <t>Restricted vs Obstructive Spirometry</t>
        </is>
      </c>
      <c r="C33" s="17" t="inlineStr">
        <is>
          <t>A patient's spirometry reveals FEV1 55% predicted, FVC 50% predicted, and FEV1/FVC ratio 0.82 (82%). How is this ventilatory defect classified?</t>
        </is>
      </c>
      <c r="D33" s="17" t="inlineStr">
        <is>
          <t>Obstructive ventilatory defect</t>
        </is>
      </c>
      <c r="E33" s="17" t="inlineStr">
        <is>
          <t>Restrictive ventilatory defect</t>
        </is>
      </c>
      <c r="F33" s="17" t="inlineStr">
        <is>
          <t>Mixed obstructive-restrictive defect</t>
        </is>
      </c>
      <c r="G33" s="17" t="inlineStr">
        <is>
          <t>Normal spirometry</t>
        </is>
      </c>
      <c r="H33" s="17" t="inlineStr">
        <is>
          <t>Small airway disease</t>
        </is>
      </c>
      <c r="I33" s="18" t="n"/>
      <c r="J33" s="19">
        <f>IF(ISBLANK(I33), "", IF(I33='Answer Key &amp; Explanations'!C28, "✅ Correct", "❌ Incorrect (See Key)"))</f>
        <v/>
      </c>
    </row>
    <row r="34">
      <c r="A34" s="10" t="n">
        <v>26</v>
      </c>
      <c r="B34" s="20" t="inlineStr">
        <is>
          <t>Rifampicin - Patient Counseling</t>
        </is>
      </c>
      <c r="C34" s="20" t="inlineStr">
        <is>
          <t>When initiating Rifampicin for pulmonary TB, what essential harmless side effect must the physician counsel the patient about to avoid panic?</t>
        </is>
      </c>
      <c r="D34" s="20" t="inlineStr">
        <is>
          <t>Temporary hair loss</t>
        </is>
      </c>
      <c r="E34" s="20" t="inlineStr">
        <is>
          <t>Orange-red discoloration of body fluids (urine, sweat, tears, saliva)</t>
        </is>
      </c>
      <c r="F34" s="20" t="inlineStr">
        <is>
          <t>Blue-green skin pigmentation</t>
        </is>
      </c>
      <c r="G34" s="20" t="inlineStr">
        <is>
          <t>Metallic taste in mouth</t>
        </is>
      </c>
      <c r="H34" s="20" t="inlineStr">
        <is>
          <t>Transient hearing impairment</t>
        </is>
      </c>
      <c r="I34" s="18" t="n"/>
      <c r="J34" s="19">
        <f>IF(ISBLANK(I34), "", IF(I34='Answer Key &amp; Explanations'!C29, "✅ Correct", "❌ Incorrect (See Key)"))</f>
        <v/>
      </c>
    </row>
    <row r="35">
      <c r="A35" s="5" t="n">
        <v>27</v>
      </c>
      <c r="B35" s="17" t="inlineStr">
        <is>
          <t>Anaphylaxis - Airway Management</t>
        </is>
      </c>
      <c r="C35" s="17" t="inlineStr">
        <is>
          <t>A patient develops acute stridor, lip edema, widespread urticaria, and hypotension 10 minutes after receiving IV penicillin. What is the immediate first-line drug of choice?</t>
        </is>
      </c>
      <c r="D35" s="17" t="inlineStr">
        <is>
          <t>IV Hydrocortisone 200 mg</t>
        </is>
      </c>
      <c r="E35" s="17" t="inlineStr">
        <is>
          <t>IM Epinephrine (Adrenaline) 1:1000 (0.5 mg)</t>
        </is>
      </c>
      <c r="F35" s="17" t="inlineStr">
        <is>
          <t>Nebulized Salbutamol</t>
        </is>
      </c>
      <c r="G35" s="17" t="inlineStr">
        <is>
          <t>IV Chlorpheniramine 10 mg</t>
        </is>
      </c>
      <c r="H35" s="17" t="inlineStr">
        <is>
          <t>IV Normal Saline 1 Liter</t>
        </is>
      </c>
      <c r="I35" s="18" t="n"/>
      <c r="J35" s="19">
        <f>IF(ISBLANK(I35), "", IF(I35='Answer Key &amp; Explanations'!C30, "✅ Correct", "❌ Incorrect (See Key)"))</f>
        <v/>
      </c>
    </row>
    <row r="36">
      <c r="A36" s="10" t="n">
        <v>28</v>
      </c>
      <c r="B36" s="20" t="inlineStr">
        <is>
          <t>CXR - Pneumoperitoneum vs Pneumothorax</t>
        </is>
      </c>
      <c r="C36" s="20" t="inlineStr">
        <is>
          <t>On an erect CXR of a breathless patient with acute abdominal pain, a crescent-shaped radiolucency is seen beneath the right hemidiaphragm. What does this represent?</t>
        </is>
      </c>
      <c r="D36" s="20" t="inlineStr">
        <is>
          <t>Right-sided tension pneumothorax</t>
        </is>
      </c>
      <c r="E36" s="20" t="inlineStr">
        <is>
          <t>Pneumoperitoneum (perforated abdominal viscus)</t>
        </is>
      </c>
      <c r="F36" s="20" t="inlineStr">
        <is>
          <t>Subphrenic abscess</t>
        </is>
      </c>
      <c r="G36" s="20" t="inlineStr">
        <is>
          <t>Normal stomach bubble</t>
        </is>
      </c>
      <c r="H36" s="20" t="inlineStr">
        <is>
          <t>Diaphragmatic hernia</t>
        </is>
      </c>
      <c r="I36" s="18" t="n"/>
      <c r="J36" s="19">
        <f>IF(ISBLANK(I36), "", IF(I36='Answer Key &amp; Explanations'!C31, "✅ Correct", "❌ Incorrect (See Key)"))</f>
        <v/>
      </c>
    </row>
    <row r="37">
      <c r="A37" s="5" t="n">
        <v>29</v>
      </c>
      <c r="B37" s="17" t="inlineStr">
        <is>
          <t>Oxygen Toxicity - Absorption Atelectasis</t>
        </is>
      </c>
      <c r="C37" s="17" t="inlineStr">
        <is>
          <t>Giving 100% unmonitored oxygen over prolonged periods can wash out alveolar nitrogen, leading to collapse of alveoli. What is this phenomenon called?</t>
        </is>
      </c>
      <c r="D37" s="17" t="inlineStr">
        <is>
          <t>Hypercapnic narcosis</t>
        </is>
      </c>
      <c r="E37" s="17" t="inlineStr">
        <is>
          <t>Absorption atelectasis</t>
        </is>
      </c>
      <c r="F37" s="17" t="inlineStr">
        <is>
          <t>Oxygen-induced hyperventilation</t>
        </is>
      </c>
      <c r="G37" s="17" t="inlineStr">
        <is>
          <t>Pulmonary barotrauma</t>
        </is>
      </c>
      <c r="H37" s="17" t="inlineStr">
        <is>
          <t>Hypoxic pulmonary vasoconstriction</t>
        </is>
      </c>
      <c r="I37" s="18" t="n"/>
      <c r="J37" s="19">
        <f>IF(ISBLANK(I37), "", IF(I37='Answer Key &amp; Explanations'!C32, "✅ Correct", "❌ Incorrect (See Key)"))</f>
        <v/>
      </c>
    </row>
    <row r="38">
      <c r="A38" s="10" t="n">
        <v>30</v>
      </c>
      <c r="B38" s="20" t="inlineStr">
        <is>
          <t>Miliary Tuberculosis - CXR Pattern</t>
        </is>
      </c>
      <c r="C38" s="20" t="inlineStr">
        <is>
          <t>A 40-year-old immunocompromised patient presents with prolonged pyrexia of unknown origin (PUO) and weight loss. CXR demonstrates tiny 1-2 mm millet-seed-like nodular opacities distributed uniformly throughout both lung fields. What is the diagnosis?</t>
        </is>
      </c>
      <c r="D38" s="20" t="inlineStr">
        <is>
          <t>Bronchopneumonia</t>
        </is>
      </c>
      <c r="E38" s="20" t="inlineStr">
        <is>
          <t>Miliary Tuberculosis</t>
        </is>
      </c>
      <c r="F38" s="20" t="inlineStr">
        <is>
          <t>Sarcoidosis Stage III</t>
        </is>
      </c>
      <c r="G38" s="20" t="inlineStr">
        <is>
          <t>Coal Workers Pneumoconiosis</t>
        </is>
      </c>
      <c r="H38" s="20" t="inlineStr">
        <is>
          <t>Pulmonary Metastases</t>
        </is>
      </c>
      <c r="I38" s="18" t="n"/>
      <c r="J38" s="19">
        <f>IF(ISBLANK(I38), "", IF(I38='Answer Key &amp; Explanations'!C33, "✅ Correct", "❌ Incorrect (See Key)"))</f>
        <v/>
      </c>
    </row>
  </sheetData>
  <mergeCells count="2">
    <mergeCell ref="A1:I1"/>
    <mergeCell ref="A3:D3"/>
  </mergeCells>
  <dataValidations count="1">
    <dataValidation sqref="I9:I38" showDropDown="0" showInputMessage="0" showErrorMessage="0" allowBlank="1" type="list">
      <formula1>"A,B,C,D,E"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3"/>
  <sheetViews>
    <sheetView showGridLines="0" workbookViewId="0">
      <selection activeCell="A1" sqref="A1"/>
    </sheetView>
  </sheetViews>
  <sheetFormatPr baseColWidth="8" defaultRowHeight="15"/>
  <cols>
    <col width="6" customWidth="1" min="1" max="1"/>
    <col width="25" customWidth="1" min="2" max="2"/>
    <col width="15" customWidth="1" min="3" max="3"/>
    <col width="60" customWidth="1" min="4" max="4"/>
  </cols>
  <sheetData>
    <row r="1">
      <c r="A1" s="1" t="inlineStr">
        <is>
          <t>Respiratory Module - Master Answer Key &amp; Physiological Explanations</t>
        </is>
      </c>
    </row>
    <row r="2"/>
    <row r="3" ht="25" customHeight="1">
      <c r="A3" s="16" t="inlineStr">
        <is>
          <t>Q#</t>
        </is>
      </c>
      <c r="B3" s="16" t="inlineStr">
        <is>
          <t>Topic Focus</t>
        </is>
      </c>
      <c r="C3" s="16" t="inlineStr">
        <is>
          <t>Correct Answer</t>
        </is>
      </c>
      <c r="D3" s="16" t="inlineStr">
        <is>
          <t>Physiological &amp; Clinical Rationale</t>
        </is>
      </c>
    </row>
    <row r="4">
      <c r="A4" s="5" t="n">
        <v>1</v>
      </c>
      <c r="B4" s="17" t="inlineStr">
        <is>
          <t>Acute Severe Asthma - Red Flags</t>
        </is>
      </c>
      <c r="C4" s="5" t="inlineStr">
        <is>
          <t>B</t>
        </is>
      </c>
      <c r="D4" s="17" t="inlineStr">
        <is>
          <t>A 'silent chest' indicates near-complete airflow obstruction with critical reduction in ventilation, signaling impending respiratory arrest and life-threatening severe asthma.</t>
        </is>
      </c>
    </row>
    <row r="5">
      <c r="A5" s="10" t="n">
        <v>2</v>
      </c>
      <c r="B5" s="20" t="inlineStr">
        <is>
          <t>Acute Severe Asthma - Emergency Tx</t>
        </is>
      </c>
      <c r="C5" s="10" t="inlineStr">
        <is>
          <t>B</t>
        </is>
      </c>
      <c r="D5" s="20" t="inlineStr">
        <is>
          <t>Inhaled SAMA (Ipratropium bromide) provides additive bronchodilation by blocking M3 muscarinic receptors and should be combined with SABA in acute severe asthma.</t>
        </is>
      </c>
    </row>
    <row r="6">
      <c r="A6" s="5" t="n">
        <v>3</v>
      </c>
      <c r="B6" s="17" t="inlineStr">
        <is>
          <t>Asthma vs COPD - Spirometry</t>
        </is>
      </c>
      <c r="C6" s="5" t="inlineStr">
        <is>
          <t>B</t>
        </is>
      </c>
      <c r="D6" s="17" t="inlineStr">
        <is>
          <t>Significant post-bronchodilator reversibility (&gt; 12% and &gt; 200 mL improvement in FEV1) is characteristic of bronchial asthma, whereas COPD demonstrates fixed/irreversible obstruction.</t>
        </is>
      </c>
    </row>
    <row r="7">
      <c r="A7" s="10" t="n">
        <v>4</v>
      </c>
      <c r="B7" s="20" t="inlineStr">
        <is>
          <t>COPD Exacerbation - Oxygen Target</t>
        </is>
      </c>
      <c r="C7" s="10" t="inlineStr">
        <is>
          <t>B</t>
        </is>
      </c>
      <c r="D7" s="20" t="inlineStr">
        <is>
          <t>In hypercapnic respiratory failure (Type 2) secondary to COPD, oxygen therapy must be titrated via Venturi mask to a target SpO2 of 88-92% to prevent loss of hypoxic respiratory drive.</t>
        </is>
      </c>
    </row>
    <row r="8">
      <c r="A8" s="5" t="n">
        <v>5</v>
      </c>
      <c r="B8" s="17" t="inlineStr">
        <is>
          <t>COPD Exacerbation - NIV Indications</t>
        </is>
      </c>
      <c r="C8" s="5" t="inlineStr">
        <is>
          <t>B</t>
        </is>
      </c>
      <c r="D8" s="17" t="inlineStr">
        <is>
          <t>NIV (BiPAP) is indicated in COPD acute exacerbation when persistent acidotic hypercapnic respiratory failure (pH &lt; 7.35 and PaCO2 &gt; 45 mmHg) persists despite maximal medical therapy.</t>
        </is>
      </c>
    </row>
    <row r="9">
      <c r="A9" s="10" t="n">
        <v>6</v>
      </c>
      <c r="B9" s="20" t="inlineStr">
        <is>
          <t>Pneumonia - CURB-65 Scoring</t>
        </is>
      </c>
      <c r="C9" s="10" t="inlineStr">
        <is>
          <t>C</t>
        </is>
      </c>
      <c r="D9" s="20" t="inlineStr">
        <is>
          <t>Points: Age &gt;= 65 (+1), Confusion (+1), Urea &gt; 7 (+1), RR &gt;= 30 (+1), BP &lt; 90/60 (+1) = Total Score 5 (or 4 depending on criteria), indicating severe CAP requiring urgent hospital/ICU admission.</t>
        </is>
      </c>
    </row>
    <row r="10">
      <c r="A10" s="5" t="n">
        <v>7</v>
      </c>
      <c r="B10" s="17" t="inlineStr">
        <is>
          <t>Community-Acquired Pneumonia - Organisms</t>
        </is>
      </c>
      <c r="C10" s="5" t="inlineStr">
        <is>
          <t>C</t>
        </is>
      </c>
      <c r="D10" s="17" t="inlineStr">
        <is>
          <t>Streptococcus pneumoniae (pneumococcus) remains the predominant bacterial cause of community-acquired pneumonia worldwide.</t>
        </is>
      </c>
    </row>
    <row r="11">
      <c r="A11" s="10" t="n">
        <v>8</v>
      </c>
      <c r="B11" s="20" t="inlineStr">
        <is>
          <t>Atypical Pneumonia - Features</t>
        </is>
      </c>
      <c r="C11" s="10" t="inlineStr">
        <is>
          <t>B</t>
        </is>
      </c>
      <c r="D11" s="20" t="inlineStr">
        <is>
          <t>Mycoplasma pneumoniae presents as 'walking pneumonia' in young adults with extrapulmonary features like IgM cold agglutinin hemolytic anemia and interstitial infiltrates.</t>
        </is>
      </c>
    </row>
    <row r="12">
      <c r="A12" s="5" t="n">
        <v>9</v>
      </c>
      <c r="B12" s="17" t="inlineStr">
        <is>
          <t>Tuberculosis - Primary Diagnosis</t>
        </is>
      </c>
      <c r="C12" s="5" t="inlineStr">
        <is>
          <t>C</t>
        </is>
      </c>
      <c r="D12" s="17" t="inlineStr">
        <is>
          <t>GeneXpert MTB/RIF is a rapid automated nucleic acid amplification test that identifies M. tuberculosis DNA and detects rpoB gene mutations conferring Rifampicin resistance in under 2 hours.</t>
        </is>
      </c>
    </row>
    <row r="13">
      <c r="A13" s="10" t="n">
        <v>10</v>
      </c>
      <c r="B13" s="20" t="inlineStr">
        <is>
          <t>Tuberculosis - Anti-TB Toxicity</t>
        </is>
      </c>
      <c r="C13" s="10" t="inlineStr">
        <is>
          <t>B</t>
        </is>
      </c>
      <c r="D13" s="20" t="inlineStr">
        <is>
          <t>Isoniazid inhibits pyridoxine (Vitamin B6) phosphorylation, causing peripheral neuropathy. Co-administration of Pyridoxine (10-25 mg/day) prevents this complication.</t>
        </is>
      </c>
    </row>
    <row r="14">
      <c r="A14" s="5" t="n">
        <v>11</v>
      </c>
      <c r="B14" s="17" t="inlineStr">
        <is>
          <t>Tuberculosis - Side Effect Profile</t>
        </is>
      </c>
      <c r="C14" s="5" t="inlineStr">
        <is>
          <t>C</t>
        </is>
      </c>
      <c r="D14" s="17" t="inlineStr">
        <is>
          <t>Ethambutol can cause dose-dependent retrobulbar optic neuritis, manifesting as decreased visual acuity and red-green color discrimination loss; visual acuity checks are required.</t>
        </is>
      </c>
    </row>
    <row r="15">
      <c r="A15" s="10" t="n">
        <v>12</v>
      </c>
      <c r="B15" s="20" t="inlineStr">
        <is>
          <t>Pleural Effusion - Light's Criteria</t>
        </is>
      </c>
      <c r="C15" s="10" t="inlineStr">
        <is>
          <t>B</t>
        </is>
      </c>
      <c r="D15" s="20" t="inlineStr">
        <is>
          <t>By Light's criteria (Pleural/Serum Protein &gt; 0.5, Pleural/Serum LDH &gt; 0.6), this fluid meets criteria for an EXUDATE, commonly caused by infection (pneumonia, TB) or malignancy.</t>
        </is>
      </c>
    </row>
    <row r="16">
      <c r="A16" s="5" t="n">
        <v>13</v>
      </c>
      <c r="B16" s="17" t="inlineStr">
        <is>
          <t>Pleural Effusion - Physical Exam</t>
        </is>
      </c>
      <c r="C16" s="5" t="inlineStr">
        <is>
          <t>B</t>
        </is>
      </c>
      <c r="D16" s="17" t="inlineStr">
        <is>
          <t>Pleural fluid attenuates sound transmission, producing stony dullness on percussion, absent or markably diminished breath sounds, and decreased vocal resonance over the effusion.</t>
        </is>
      </c>
    </row>
    <row r="17">
      <c r="A17" s="10" t="n">
        <v>14</v>
      </c>
      <c r="B17" s="20" t="inlineStr">
        <is>
          <t>Tension Pneumothorax - Emergency Tx</t>
        </is>
      </c>
      <c r="C17" s="10" t="inlineStr">
        <is>
          <t>B</t>
        </is>
      </c>
      <c r="D17" s="20" t="inlineStr">
        <is>
          <t>Tension pneumothorax is a clinical diagnosis requiring immediate needle decompression (14G cannula in 2nd ICS MCL or 5th ICS AAL) prior to any chest X-ray to relieve intrathoracic pressure.</t>
        </is>
      </c>
    </row>
    <row r="18">
      <c r="A18" s="5" t="n">
        <v>15</v>
      </c>
      <c r="B18" s="17" t="inlineStr">
        <is>
          <t>Spontaneous Pneumothorax - Management</t>
        </is>
      </c>
      <c r="C18" s="5" t="inlineStr">
        <is>
          <t>C</t>
        </is>
      </c>
      <c r="D18" s="17" t="inlineStr">
        <is>
          <t>Small primary spontaneous pneumothoraces (&lt; 2 cm rim) in asymptomatic patients without respiratory distress can be managed conservatively with observation and high-flow oxygen.</t>
        </is>
      </c>
    </row>
    <row r="19">
      <c r="A19" s="10" t="n">
        <v>16</v>
      </c>
      <c r="B19" s="20" t="inlineStr">
        <is>
          <t>Haemoptysis - Massive Definition &amp; Tx</t>
        </is>
      </c>
      <c r="C19" s="10" t="inlineStr">
        <is>
          <t>B</t>
        </is>
      </c>
      <c r="D19" s="20" t="inlineStr">
        <is>
          <t>The primary threat to life in massive hemoptysis is asphyxiation and suffocation caused by blood filling the respiratory dead space, rather than hypovolemic exsanguination.</t>
        </is>
      </c>
    </row>
    <row r="20">
      <c r="A20" s="5" t="n">
        <v>17</v>
      </c>
      <c r="B20" s="17" t="inlineStr">
        <is>
          <t>Massive Haemoptysis - Patient Positioning</t>
        </is>
      </c>
      <c r="C20" s="5" t="inlineStr">
        <is>
          <t>B</t>
        </is>
      </c>
      <c r="D20" s="17" t="inlineStr">
        <is>
          <t>Positioning the bleeding lung dependent (down) prevents blood from spilling into the non-bleeding healthy lung, preserving gas exchange in the uninjured lung.</t>
        </is>
      </c>
    </row>
    <row r="21">
      <c r="A21" s="10" t="n">
        <v>18</v>
      </c>
      <c r="B21" s="20" t="inlineStr">
        <is>
          <t>Type 1 vs Type 2 Respiratory Failure</t>
        </is>
      </c>
      <c r="C21" s="10" t="inlineStr">
        <is>
          <t>B</t>
        </is>
      </c>
      <c r="D21" s="20" t="inlineStr">
        <is>
          <t>Type 1 respiratory failure features hypoxemia (PaO2 &lt; 60 mmHg) with normal or low PaCO2 (&lt; 45 mmHg) due to V/Q mismatch, seen in pneumonia, PE, ARDS, and acute asthma.</t>
        </is>
      </c>
    </row>
    <row r="22">
      <c r="A22" s="5" t="n">
        <v>19</v>
      </c>
      <c r="B22" s="17" t="inlineStr">
        <is>
          <t>Type 2 Respiratory Failure - Clinical Signs</t>
        </is>
      </c>
      <c r="C22" s="5" t="inlineStr">
        <is>
          <t>B</t>
        </is>
      </c>
      <c r="D22" s="17" t="inlineStr">
        <is>
          <t>Hypercapnia causes cerebral vasodilation and peripheral vasodilation, producing a bounding pulse, warm peripheries, flapping tremor (asterixis), drowsiness, and papilledema.</t>
        </is>
      </c>
    </row>
    <row r="23">
      <c r="A23" s="10" t="n">
        <v>20</v>
      </c>
      <c r="B23" s="20" t="inlineStr">
        <is>
          <t>Pulmonary Embolism - Wells Score &amp; Dx</t>
        </is>
      </c>
      <c r="C23" s="10" t="inlineStr">
        <is>
          <t>B</t>
        </is>
      </c>
      <c r="D23" s="20" t="inlineStr">
        <is>
          <t>In patients with high clinical probability (Wells score &gt; 4), CT Pulmonary Angiography (CTPA) is the definitive gold-standard diagnostic imaging test for acute pulmonary embolism.</t>
        </is>
      </c>
    </row>
    <row r="24">
      <c r="A24" s="5" t="n">
        <v>21</v>
      </c>
      <c r="B24" s="17" t="inlineStr">
        <is>
          <t>Pulmonary Embolism - D-Dimer Utility</t>
        </is>
      </c>
      <c r="C24" s="5" t="inlineStr">
        <is>
          <t>B</t>
        </is>
      </c>
      <c r="D24" s="17" t="inlineStr">
        <is>
          <t>A negative high-sensitivity D-dimer in a low-probability patient has a very high negative predictive value (&gt; 99%), safely ruling out PE without need for CTPA imaging.</t>
        </is>
      </c>
    </row>
    <row r="25">
      <c r="A25" s="10" t="n">
        <v>22</v>
      </c>
      <c r="B25" s="20" t="inlineStr">
        <is>
          <t>Bronchiectasis - Etiology &amp; Findings</t>
        </is>
      </c>
      <c r="C25" s="10" t="inlineStr">
        <is>
          <t>B</t>
        </is>
      </c>
      <c r="D25" s="20" t="inlineStr">
        <is>
          <t>Bronchiectasis is irreversible bronchial dilation from chronic infection/inflammation, presenting with voluminous purulent sputum, clubbing, and 'tram-track' bronchial wall thickening on imaging.</t>
        </is>
      </c>
    </row>
    <row r="26">
      <c r="A26" s="5" t="n">
        <v>23</v>
      </c>
      <c r="B26" s="17" t="inlineStr">
        <is>
          <t>Idiopathic Pulmonary Fibrosis - Features</t>
        </is>
      </c>
      <c r="C26" s="5" t="inlineStr">
        <is>
          <t>B</t>
        </is>
      </c>
      <c r="D26" s="17" t="inlineStr">
        <is>
          <t>Idiopathic Pulmonary Fibrosis (IPF) is a restrictive lung disease presenting with dry cough, clubbing, fine end-inspiratory Velcro crackles, and HRCT subpleural honeycombing.</t>
        </is>
      </c>
    </row>
    <row r="27">
      <c r="A27" s="10" t="n">
        <v>24</v>
      </c>
      <c r="B27" s="20" t="inlineStr">
        <is>
          <t>Acute Severe Asthma - IV Magnesium</t>
        </is>
      </c>
      <c r="C27" s="10" t="inlineStr">
        <is>
          <t>B</t>
        </is>
      </c>
      <c r="D27" s="20" t="inlineStr">
        <is>
          <t>IV Magnesium sulfate causes bronchial smooth muscle relaxation by inhibiting calcium uptake into myocytes and is indicated in acute severe asthma refractory to initial nebulizers.</t>
        </is>
      </c>
    </row>
    <row r="28">
      <c r="A28" s="5" t="n">
        <v>25</v>
      </c>
      <c r="B28" s="17" t="inlineStr">
        <is>
          <t>Restricted vs Obstructive Spirometry</t>
        </is>
      </c>
      <c r="C28" s="5" t="inlineStr">
        <is>
          <t>B</t>
        </is>
      </c>
      <c r="D28" s="17" t="inlineStr">
        <is>
          <t>A normal or elevated FEV1/FVC ratio (&gt;= 0.70) combined with a reduced FVC (&lt; 80% predicted) is characteristic of a RESTRICTIVE ventilatory defect (e.g., ILD, chest wall deformities).</t>
        </is>
      </c>
    </row>
    <row r="29">
      <c r="A29" s="10" t="n">
        <v>26</v>
      </c>
      <c r="B29" s="20" t="inlineStr">
        <is>
          <t>Rifampicin - Patient Counseling</t>
        </is>
      </c>
      <c r="C29" s="10" t="inlineStr">
        <is>
          <t>B</t>
        </is>
      </c>
      <c r="D29" s="20" t="inlineStr">
        <is>
          <t>Rifampicin causes benign orange-red discoloration of bodily secretions (urine, sweat, tears), which can permanently stain soft contact lenses; patients must be forewarned.</t>
        </is>
      </c>
    </row>
    <row r="30">
      <c r="A30" s="5" t="n">
        <v>27</v>
      </c>
      <c r="B30" s="17" t="inlineStr">
        <is>
          <t>Anaphylaxis - Airway Management</t>
        </is>
      </c>
      <c r="C30" s="5" t="inlineStr">
        <is>
          <t>B</t>
        </is>
      </c>
      <c r="D30" s="17" t="inlineStr">
        <is>
          <t>Intramuscular Epinephrine (Adrenaline) 1:1000 (0.5 mg in adults) in the anterolateral thigh is the immediate first-line life-saving treatment for anaphylaxis.</t>
        </is>
      </c>
    </row>
    <row r="31">
      <c r="A31" s="10" t="n">
        <v>28</v>
      </c>
      <c r="B31" s="20" t="inlineStr">
        <is>
          <t>CXR - Pneumoperitoneum vs Pneumothorax</t>
        </is>
      </c>
      <c r="C31" s="10" t="inlineStr">
        <is>
          <t>B</t>
        </is>
      </c>
      <c r="D31" s="20" t="inlineStr">
        <is>
          <t>Free air under the diaphragm (pneumoperitoneum) on erect CXR indicates a perforated hollow abdominal organ (e.g., peptic ulcer perforation), a surgical emergency.</t>
        </is>
      </c>
    </row>
    <row r="32">
      <c r="A32" s="5" t="n">
        <v>29</v>
      </c>
      <c r="B32" s="17" t="inlineStr">
        <is>
          <t>Oxygen Toxicity - Absorption Atelectasis</t>
        </is>
      </c>
      <c r="C32" s="5" t="inlineStr">
        <is>
          <t>B</t>
        </is>
      </c>
      <c r="D32" s="17" t="inlineStr">
        <is>
          <t>High FIO2 washes out inert alveolar nitrogen (which maintains alveolar stability), leading to rapid diffusion of oxygen into blood and subsequent alveolar collapse (absorption atelectasis).</t>
        </is>
      </c>
    </row>
    <row r="33">
      <c r="A33" s="10" t="n">
        <v>30</v>
      </c>
      <c r="B33" s="20" t="inlineStr">
        <is>
          <t>Miliary Tuberculosis - CXR Pattern</t>
        </is>
      </c>
      <c r="C33" s="10" t="inlineStr">
        <is>
          <t>B</t>
        </is>
      </c>
      <c r="D33" s="20" t="inlineStr">
        <is>
          <t>Miliary Tuberculosis results from hematogenous dissemination of M. tuberculosis, producing classic 1-2 mm 'millet seed' nodular lesions diffusely scattered throughout both lungs.</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2026-09-28T17:42:34Z</dcterms:created>
  <dcterms:modified xmlns:dcterms="http://purl.org/dc/terms/" xmlns:xsi="http://www.w3.org/2001/XMLSchema-instance" xsi:type="dcterms:W3CDTF">2026-09-28T17:42:34Z</dcterms:modified>
</cp:coreProperties>
</file>