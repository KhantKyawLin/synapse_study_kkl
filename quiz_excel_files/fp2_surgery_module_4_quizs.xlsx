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 (Student)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FF"/>
      <sz val="11"/>
      <u val="single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164" fontId="5" fillId="5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4: UPPER GASTROINTESTINAL &amp; ESOPHAGEAL PATHOLOGY</t>
        </is>
      </c>
    </row>
    <row r="2">
      <c r="A2" s="2" t="inlineStr">
        <is>
          <t>Master Clinical Quiz &amp; Diagnostic Database | Version Stamp: v1.0</t>
        </is>
      </c>
    </row>
    <row r="4">
      <c r="A4" s="3" t="inlineStr">
        <is>
          <t>WORKBOOK NAVIGATION &amp; HYPERLINKS</t>
        </is>
      </c>
    </row>
    <row r="5" customFormat="1" s="4">
      <c r="A5" s="5" t="inlineStr">
        <is>
          <t>Sheet Name</t>
        </is>
      </c>
      <c r="B5" s="5" t="inlineStr">
        <is>
          <t>Direct Link</t>
        </is>
      </c>
      <c r="C5" s="5" t="inlineStr">
        <is>
          <t>Description</t>
        </is>
      </c>
    </row>
    <row r="6">
      <c r="A6" s="6" t="inlineStr">
        <is>
          <t>Tab 2: Interactive Quiz (Student Portal)</t>
        </is>
      </c>
      <c r="B6" s="7">
        <f>HYPERLINK("#'Interactive Quiz (Student)'!A1", "Go to Sheet ➔")</f>
        <v/>
      </c>
      <c r="C6" s="8" t="inlineStr">
        <is>
          <t>30 High-Yield Clinical MCQs with automated live grading and dropdown answer input.</t>
        </is>
      </c>
    </row>
    <row r="7">
      <c r="A7" s="6" t="inlineStr">
        <is>
          <t>Tab 3: Answer Key &amp; Explanations</t>
        </is>
      </c>
      <c r="B7" s="7">
        <f>HYPERLINK("#'Answer Key &amp; Explanations'!A1", "Go to Sheet ➔")</f>
        <v/>
      </c>
      <c r="C7" s="8" t="inlineStr">
        <is>
          <t>Complete instructor answer key with detailed textbook-grounded clinical rationales.</t>
        </is>
      </c>
    </row>
    <row r="9">
      <c r="A9" s="3" t="inlineStr">
        <is>
          <t>WORKBOOK FORMATTING &amp; COLOR LEGEND</t>
        </is>
      </c>
    </row>
    <row r="10">
      <c r="A10" s="9" t="inlineStr">
        <is>
          <t>Light Blue Fill (#DCE6F1)</t>
        </is>
      </c>
      <c r="B10" s="8" t="inlineStr">
        <is>
          <t>Student Input Cell (Column H dropdown selection A-E)</t>
        </is>
      </c>
    </row>
    <row r="11">
      <c r="A11" s="10" t="inlineStr">
        <is>
          <t>Light Green Fill (#E2EFDA)</t>
        </is>
      </c>
      <c r="B11" s="8" t="inlineStr">
        <is>
          <t>Computed Scorecard &amp; Automated Grade Formulas</t>
        </is>
      </c>
    </row>
    <row r="12">
      <c r="A12" s="5" t="inlineStr">
        <is>
          <t>Dark Blue Banner (#2F5496)</t>
        </is>
      </c>
      <c r="B12" s="8" t="inlineStr">
        <is>
          <t>Section Headers &amp; Primary Table Banners</t>
        </is>
      </c>
    </row>
    <row r="13">
      <c r="A13" s="11" t="inlineStr">
        <is>
          <t>Zebra Gray (#F2F2F2)</t>
        </is>
      </c>
      <c r="B13" s="8" t="inlineStr">
        <is>
          <t>Alternating Data Row Shading for Visual Clarity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22" customWidth="1" min="9" max="9"/>
  </cols>
  <sheetData>
    <row r="1">
      <c r="A1" s="1" t="inlineStr">
        <is>
          <t>MODULE 4: UPPER GI &amp; ESOPHAGEAL PATHOLOGY INTERACTIVE QUIZ</t>
        </is>
      </c>
    </row>
    <row r="3">
      <c r="A3" s="3" t="inlineStr">
        <is>
          <t>AUTOMATED STUDENT SCORECARD</t>
        </is>
      </c>
    </row>
    <row r="4">
      <c r="A4" s="6" t="inlineStr">
        <is>
          <t>Questions Attempted:</t>
        </is>
      </c>
      <c r="B4" s="10">
        <f>COUNTA(H9:H38)</f>
        <v/>
      </c>
    </row>
    <row r="5">
      <c r="A5" s="6" t="inlineStr">
        <is>
          <t>Correct Answers:</t>
        </is>
      </c>
      <c r="B5" s="10">
        <f>COUNTIF(I9:I38, "*Correct*")</f>
        <v/>
      </c>
    </row>
    <row r="6">
      <c r="A6" s="6" t="inlineStr">
        <is>
          <t>Overall Grade Score:</t>
        </is>
      </c>
      <c r="B6" s="12">
        <f>IF(B4=0, 0, B5/30)</f>
        <v/>
      </c>
    </row>
    <row r="8" ht="25" customHeight="1">
      <c r="A8" s="13" t="inlineStr">
        <is>
          <t>Q#</t>
        </is>
      </c>
      <c r="B8" s="13" t="inlineStr">
        <is>
          <t>Clinical Scenario &amp; Question Prompt</t>
        </is>
      </c>
      <c r="C8" s="13" t="inlineStr">
        <is>
          <t>Option A</t>
        </is>
      </c>
      <c r="D8" s="13" t="inlineStr">
        <is>
          <t>Option B</t>
        </is>
      </c>
      <c r="E8" s="13" t="inlineStr">
        <is>
          <t>Option C</t>
        </is>
      </c>
      <c r="F8" s="13" t="inlineStr">
        <is>
          <t>Option D</t>
        </is>
      </c>
      <c r="G8" s="13" t="inlineStr">
        <is>
          <t>Option E</t>
        </is>
      </c>
      <c r="H8" s="13" t="inlineStr">
        <is>
          <t>Your Answer</t>
        </is>
      </c>
      <c r="I8" s="13" t="inlineStr">
        <is>
          <t>Real-Time Grade</t>
        </is>
      </c>
    </row>
    <row r="9" ht="45" customHeight="1">
      <c r="A9" s="14" t="inlineStr">
        <is>
          <t>Q1</t>
        </is>
      </c>
      <c r="B9" s="15" t="inlineStr">
        <is>
          <t>A 45-year-old male presents with sudden hematemesis of 1000 mL fresh blood and melena. Pulse is 115 bpm, BP is 100/65 mmHg. What is the immediate initial step in resuscitation?</t>
        </is>
      </c>
      <c r="C9" s="15" t="inlineStr">
        <is>
          <t>Emergency upper GI endoscopy within 1 hour</t>
        </is>
      </c>
      <c r="D9" s="15" t="inlineStr">
        <is>
          <t>Insert two large-bore IV cannulae &amp; start IV crystalloids/colloids</t>
        </is>
      </c>
      <c r="E9" s="15" t="inlineStr">
        <is>
          <t>Oral PPI administration</t>
        </is>
      </c>
      <c r="F9" s="15" t="inlineStr">
        <is>
          <t>Urgent barium swallow</t>
        </is>
      </c>
      <c r="G9" s="15" t="inlineStr">
        <is>
          <t>Emergency laparotomy</t>
        </is>
      </c>
      <c r="H9" s="16" t="n"/>
      <c r="I9" s="17">
        <f>IF(ISBLANK(H9), "", IF(H9='Answer Key &amp; Explanations'!C9, "✅ Correct", "❌ Incorrect (See Key)"))</f>
        <v/>
      </c>
    </row>
    <row r="10" ht="45" customHeight="1">
      <c r="A10" s="18" t="inlineStr">
        <is>
          <t>Q2</t>
        </is>
      </c>
      <c r="B10" s="19" t="inlineStr">
        <is>
          <t>Which clinical feature most reliably distinguishes Hematemesis from Hemoptysis?</t>
        </is>
      </c>
      <c r="C10" s="19" t="inlineStr">
        <is>
          <t>Presence of bright red blood</t>
        </is>
      </c>
      <c r="D10" s="19" t="inlineStr">
        <is>
          <t>Coughed up with froth and alkaline pH</t>
        </is>
      </c>
      <c r="E10" s="19" t="inlineStr">
        <is>
          <t>Associated with tachycardia</t>
        </is>
      </c>
      <c r="F10" s="19" t="inlineStr">
        <is>
          <t>Presence of melena</t>
        </is>
      </c>
      <c r="G10" s="19" t="inlineStr">
        <is>
          <t>History of alcohol intake</t>
        </is>
      </c>
      <c r="H10" s="16" t="n"/>
      <c r="I10" s="20">
        <f>IF(ISBLANK(H10), "", IF(H10='Answer Key &amp; Explanations'!C10, "✅ Correct", "❌ Incorrect (See Key)"))</f>
        <v/>
      </c>
    </row>
    <row r="11" ht="45" customHeight="1">
      <c r="A11" s="14" t="inlineStr">
        <is>
          <t>Q3</t>
        </is>
      </c>
      <c r="B11" s="15" t="inlineStr">
        <is>
          <t>A 55-year-old chronic NSAID user presents with severe epigastric pain and coffee-ground vomiting. Endoscopy shows a bleeding duodenal ulcer. What is the first-line therapeutic endoscopic method?</t>
        </is>
      </c>
      <c r="C11" s="15" t="inlineStr">
        <is>
          <t>Argon plasma coagulation alone</t>
        </is>
      </c>
      <c r="D11" s="15" t="inlineStr">
        <is>
          <t>Dual endoscopic therapy (e.g. Adrenaline injection + Mechanical clips / Thermal cautery)</t>
        </is>
      </c>
      <c r="E11" s="15" t="inlineStr">
        <is>
          <t>Systemic IV vasopressin alone</t>
        </is>
      </c>
      <c r="F11" s="15" t="inlineStr">
        <is>
          <t>Sengstaken-Blakemore tube</t>
        </is>
      </c>
      <c r="G11" s="15" t="inlineStr">
        <is>
          <t>Surgical wedge resection</t>
        </is>
      </c>
      <c r="H11" s="16" t="n"/>
      <c r="I11" s="17">
        <f>IF(ISBLANK(H11), "", IF(H11='Answer Key &amp; Explanations'!C11, "✅ Correct", "❌ Incorrect (See Key)"))</f>
        <v/>
      </c>
    </row>
    <row r="12" ht="45" customHeight="1">
      <c r="A12" s="18" t="inlineStr">
        <is>
          <t>Q4</t>
        </is>
      </c>
      <c r="B12" s="19" t="inlineStr">
        <is>
          <t>A 50-year-old cirrhotic patient presents with massive variceal hematemesis. Which pharmacological agent should be administered immediately prior to emergency endoscopy?</t>
        </is>
      </c>
      <c r="C12" s="19" t="inlineStr">
        <is>
          <t>IV Omeprazole bolus</t>
        </is>
      </c>
      <c r="D12" s="19" t="inlineStr">
        <is>
          <t>IV Vasoactive agent (Terlipressin or Octreotide)</t>
        </is>
      </c>
      <c r="E12" s="19" t="inlineStr">
        <is>
          <t>Oral Tranexamic acid</t>
        </is>
      </c>
      <c r="F12" s="19" t="inlineStr">
        <is>
          <t>IV Metoclopramide</t>
        </is>
      </c>
      <c r="G12" s="19" t="inlineStr">
        <is>
          <t>Oral Propranolol</t>
        </is>
      </c>
      <c r="H12" s="16" t="n"/>
      <c r="I12" s="20">
        <f>IF(ISBLANK(H12), "", IF(H12='Answer Key &amp; Explanations'!C12, "✅ Correct", "❌ Incorrect (See Key)"))</f>
        <v/>
      </c>
    </row>
    <row r="13" ht="45" customHeight="1">
      <c r="A13" s="14" t="inlineStr">
        <is>
          <t>Q5</t>
        </is>
      </c>
      <c r="B13" s="15" t="inlineStr">
        <is>
          <t>In a patient with bleeding esophageal varices uncontrolled by pharmacological and endoscopic band ligation, what is the temporary mechanical balloon tamponade device of choice?</t>
        </is>
      </c>
      <c r="C13" s="15" t="inlineStr">
        <is>
          <t>Ryle's nasogastric tube</t>
        </is>
      </c>
      <c r="D13" s="15" t="inlineStr">
        <is>
          <t>Sengstaken-Blakemore tube</t>
        </is>
      </c>
      <c r="E13" s="15" t="inlineStr">
        <is>
          <t>Foley catheter</t>
        </is>
      </c>
      <c r="F13" s="15" t="inlineStr">
        <is>
          <t>Laryngeal mask airway</t>
        </is>
      </c>
      <c r="G13" s="15" t="inlineStr">
        <is>
          <t>Ewald tube</t>
        </is>
      </c>
      <c r="H13" s="16" t="n"/>
      <c r="I13" s="17">
        <f>IF(ISBLANK(H13), "", IF(H13='Answer Key &amp; Explanations'!C13, "✅ Correct", "❌ Incorrect (See Key)"))</f>
        <v/>
      </c>
    </row>
    <row r="14" ht="45" customHeight="1">
      <c r="A14" s="18" t="inlineStr">
        <is>
          <t>Q6</t>
        </is>
      </c>
      <c r="B14" s="19" t="inlineStr">
        <is>
          <t>Which scoring system is validated for pre-endoscopy risk stratification in acute upper GI bleeding to identify low-risk patients suitable for outpatient management?</t>
        </is>
      </c>
      <c r="C14" s="19" t="inlineStr">
        <is>
          <t>Glasgow-Blatchford Score (GBS)</t>
        </is>
      </c>
      <c r="D14" s="19" t="inlineStr">
        <is>
          <t>Child-Pugh Score</t>
        </is>
      </c>
      <c r="E14" s="19" t="inlineStr">
        <is>
          <t>MELD Score</t>
        </is>
      </c>
      <c r="F14" s="19" t="inlineStr">
        <is>
          <t>Rockall Score</t>
        </is>
      </c>
      <c r="G14" s="19" t="inlineStr">
        <is>
          <t>Ranson Criteria</t>
        </is>
      </c>
      <c r="H14" s="16" t="n"/>
      <c r="I14" s="20">
        <f>IF(ISBLANK(H14), "", IF(H14='Answer Key &amp; Explanations'!C14, "✅ Correct", "❌ Incorrect (See Key)"))</f>
        <v/>
      </c>
    </row>
    <row r="15" ht="45" customHeight="1">
      <c r="A15" s="14" t="inlineStr">
        <is>
          <t>Q7</t>
        </is>
      </c>
      <c r="B15" s="15" t="inlineStr">
        <is>
          <t>A 62-year-old male with long-standing GERD presents with progressive dysphagia to solid foods over 6 months, accompanied by 8 kg weight loss. What is the single most essential diagnostic test?</t>
        </is>
      </c>
      <c r="C15" s="15" t="inlineStr">
        <is>
          <t>Barium swallow radiography</t>
        </is>
      </c>
      <c r="D15" s="15" t="inlineStr">
        <is>
          <t>Flexible Upper GI Endoscopy (OGDS) with biopsy</t>
        </is>
      </c>
      <c r="E15" s="15" t="inlineStr">
        <is>
          <t>Esophageal high-resolution manometry</t>
        </is>
      </c>
      <c r="F15" s="15" t="inlineStr">
        <is>
          <t>24-hour pH monitoring</t>
        </is>
      </c>
      <c r="G15" s="15" t="inlineStr">
        <is>
          <t>CT Scan of thorax</t>
        </is>
      </c>
      <c r="H15" s="16" t="n"/>
      <c r="I15" s="17">
        <f>IF(ISBLANK(H15), "", IF(H15='Answer Key &amp; Explanations'!C15, "✅ Correct", "❌ Incorrect (See Key)"))</f>
        <v/>
      </c>
    </row>
    <row r="16" ht="45" customHeight="1">
      <c r="A16" s="18" t="inlineStr">
        <is>
          <t>Q8</t>
        </is>
      </c>
      <c r="B16" s="19" t="inlineStr">
        <is>
          <t>Which esophageal wall layer is absent compared to the rest of the gastrointestinal tract, contributing to early local invasion and early transmural spread of esophageal carcinoma?</t>
        </is>
      </c>
      <c r="C16" s="19" t="inlineStr">
        <is>
          <t>Mucosa</t>
        </is>
      </c>
      <c r="D16" s="19" t="inlineStr">
        <is>
          <t>Submucosa</t>
        </is>
      </c>
      <c r="E16" s="19" t="inlineStr">
        <is>
          <t>Circular muscle layer</t>
        </is>
      </c>
      <c r="F16" s="19" t="inlineStr">
        <is>
          <t>Serosa</t>
        </is>
      </c>
      <c r="G16" s="19" t="inlineStr">
        <is>
          <t>Adventitia</t>
        </is>
      </c>
      <c r="H16" s="16" t="n"/>
      <c r="I16" s="20">
        <f>IF(ISBLANK(H16), "", IF(H16='Answer Key &amp; Explanations'!C16, "✅ Correct", "❌ Incorrect (See Key)"))</f>
        <v/>
      </c>
    </row>
    <row r="17" ht="45" customHeight="1">
      <c r="A17" s="14" t="inlineStr">
        <is>
          <t>Q9</t>
        </is>
      </c>
      <c r="B17" s="15" t="inlineStr">
        <is>
          <t>A 35-year-old female presents with a 2-year history of progressive dysphagia to BOTH solids and liquids simultaneously, regurgitation of undigested food, and chest pain. What is the most likely diagnosis?</t>
        </is>
      </c>
      <c r="C17" s="15" t="inlineStr">
        <is>
          <t>Carcinoma of Esophagus</t>
        </is>
      </c>
      <c r="D17" s="15" t="inlineStr">
        <is>
          <t>Achalasia Cardia</t>
        </is>
      </c>
      <c r="E17" s="15" t="inlineStr">
        <is>
          <t>Benign Peptic Stricture</t>
        </is>
      </c>
      <c r="F17" s="15" t="inlineStr">
        <is>
          <t>Esophageal Web (Plummer-Vinson)</t>
        </is>
      </c>
      <c r="G17" s="15" t="inlineStr">
        <is>
          <t>Diffuse Esophageal Spasm</t>
        </is>
      </c>
      <c r="H17" s="16" t="n"/>
      <c r="I17" s="17">
        <f>IF(ISBLANK(H17), "", IF(H17='Answer Key &amp; Explanations'!C17, "✅ Correct", "❌ Incorrect (See Key)"))</f>
        <v/>
      </c>
    </row>
    <row r="18" ht="45" customHeight="1">
      <c r="A18" s="18" t="inlineStr">
        <is>
          <t>Q10</t>
        </is>
      </c>
      <c r="B18" s="19" t="inlineStr">
        <is>
          <t>What classic pathognomonic finding is seen on Barium Swallow in a patient with Achalasia Cardia?</t>
        </is>
      </c>
      <c r="C18" s="19" t="inlineStr">
        <is>
          <t>Apple-core lesion</t>
        </is>
      </c>
      <c r="D18" s="19" t="inlineStr">
        <is>
          <t>Bird's-beak / Rat-tail narrowing</t>
        </is>
      </c>
      <c r="E18" s="19" t="inlineStr">
        <is>
          <t>Cobblestone appearance</t>
        </is>
      </c>
      <c r="F18" s="19" t="inlineStr">
        <is>
          <t>Lead-pipe appearance</t>
        </is>
      </c>
      <c r="G18" s="19" t="inlineStr">
        <is>
          <t>String sign of Kantor</t>
        </is>
      </c>
      <c r="H18" s="16" t="n"/>
      <c r="I18" s="20">
        <f>IF(ISBLANK(H18), "", IF(H18='Answer Key &amp; Explanations'!C18, "✅ Correct", "❌ Incorrect (See Key)"))</f>
        <v/>
      </c>
    </row>
    <row r="19" ht="45" customHeight="1">
      <c r="A19" s="14" t="inlineStr">
        <is>
          <t>Q11</t>
        </is>
      </c>
      <c r="B19" s="15" t="inlineStr">
        <is>
          <t>What is the gold standard investigation for confirming the diagnosis of Achalasia Cardia?</t>
        </is>
      </c>
      <c r="C19" s="15" t="inlineStr">
        <is>
          <t>Barium Swallow</t>
        </is>
      </c>
      <c r="D19" s="15" t="inlineStr">
        <is>
          <t>Esophageal High-Resolution Manometry</t>
        </is>
      </c>
      <c r="E19" s="15" t="inlineStr">
        <is>
          <t>24-hour pH study</t>
        </is>
      </c>
      <c r="F19" s="15" t="inlineStr">
        <is>
          <t>OGDS</t>
        </is>
      </c>
      <c r="G19" s="15" t="inlineStr">
        <is>
          <t>Endoscopic Ultrasound</t>
        </is>
      </c>
      <c r="H19" s="16" t="n"/>
      <c r="I19" s="17">
        <f>IF(ISBLANK(H19), "", IF(H19='Answer Key &amp; Explanations'!C19, "✅ Correct", "❌ Incorrect (See Key)"))</f>
        <v/>
      </c>
    </row>
    <row r="20" ht="45" customHeight="1">
      <c r="A20" s="18" t="inlineStr">
        <is>
          <t>Q12</t>
        </is>
      </c>
      <c r="B20" s="19" t="inlineStr">
        <is>
          <t>Which surgical procedure is the definitive treatment of choice for Achalasia Cardia?</t>
        </is>
      </c>
      <c r="C20" s="19" t="inlineStr">
        <is>
          <t>Ivor Lewis Esophagectomy</t>
        </is>
      </c>
      <c r="D20" s="19" t="inlineStr">
        <is>
          <t>Laparoscopic Heller's Cardiomyotomy + Partial Fundoplication (Toupet/Dor)</t>
        </is>
      </c>
      <c r="E20" s="19" t="inlineStr">
        <is>
          <t>McKeown Esophagectomy</t>
        </is>
      </c>
      <c r="F20" s="19" t="inlineStr">
        <is>
          <t>Roux-en-Y Gastric Bypass</t>
        </is>
      </c>
      <c r="G20" s="19" t="inlineStr">
        <is>
          <t>Billroth II Gastrectomy</t>
        </is>
      </c>
      <c r="H20" s="16" t="n"/>
      <c r="I20" s="20">
        <f>IF(ISBLANK(H20), "", IF(H20='Answer Key &amp; Explanations'!C20, "✅ Correct", "❌ Incorrect (See Key)"))</f>
        <v/>
      </c>
    </row>
    <row r="21" ht="45" customHeight="1">
      <c r="A21" s="14" t="inlineStr">
        <is>
          <t>Q13</t>
        </is>
      </c>
      <c r="B21" s="15" t="inlineStr">
        <is>
          <t>A 58-year-old male smoker presents with epigastric pain relieved by food and postprandial fullness. Barium meal shows a niche and Hampton's line. What is the most common histological type of Gastric Cancer?</t>
        </is>
      </c>
      <c r="C21" s="15" t="inlineStr">
        <is>
          <t>Squamous Cell Carcinoma</t>
        </is>
      </c>
      <c r="D21" s="15" t="inlineStr">
        <is>
          <t>Gastric Adenocarcinoma</t>
        </is>
      </c>
      <c r="E21" s="15" t="inlineStr">
        <is>
          <t>Gastrointestinal Stromal Tumor (GIST)</t>
        </is>
      </c>
      <c r="F21" s="15" t="inlineStr">
        <is>
          <t>Primary Gastric Lymphoma</t>
        </is>
      </c>
      <c r="G21" s="15" t="inlineStr">
        <is>
          <t>Carcinoid Tumor</t>
        </is>
      </c>
      <c r="H21" s="16" t="n"/>
      <c r="I21" s="17">
        <f>IF(ISBLANK(H21), "", IF(H21='Answer Key &amp; Explanations'!C21, "✅ Correct", "❌ Incorrect (See Key)"))</f>
        <v/>
      </c>
    </row>
    <row r="22" ht="45" customHeight="1">
      <c r="A22" s="18" t="inlineStr">
        <is>
          <t>Q14</t>
        </is>
      </c>
      <c r="B22" s="19" t="inlineStr">
        <is>
          <t>Which anatomical classification divides gastric carcinoma into Intestinal (well-differentiated, environmental) and Diffuse (poorly differentiated, signet-ring cells, genetic) types?</t>
        </is>
      </c>
      <c r="C22" s="19" t="inlineStr">
        <is>
          <t>Bormann Classification</t>
        </is>
      </c>
      <c r="D22" s="19" t="inlineStr">
        <is>
          <t>Lauren Classification</t>
        </is>
      </c>
      <c r="E22" s="19" t="inlineStr">
        <is>
          <t>TNM Staging</t>
        </is>
      </c>
      <c r="F22" s="19" t="inlineStr">
        <is>
          <t>Dukes Classification</t>
        </is>
      </c>
      <c r="G22" s="19" t="inlineStr">
        <is>
          <t>Johnson Classification</t>
        </is>
      </c>
      <c r="H22" s="16" t="n"/>
      <c r="I22" s="20">
        <f>IF(ISBLANK(H22), "", IF(H22='Answer Key &amp; Explanations'!C22, "✅ Correct", "❌ Incorrect (See Key)"))</f>
        <v/>
      </c>
    </row>
    <row r="23" ht="45" customHeight="1">
      <c r="A23" s="14" t="inlineStr">
        <is>
          <t>Q15</t>
        </is>
      </c>
      <c r="B23" s="15" t="inlineStr">
        <is>
          <t>A 50-year-old female presents with epigastric distress. Abdominal exam reveals bilateral enlarged, firm adnexal masses. Ovarian biopsy reveals signet-ring cells secreting mucin. What is this tumor called?</t>
        </is>
      </c>
      <c r="C23" s="15" t="inlineStr">
        <is>
          <t>Virchow's Node</t>
        </is>
      </c>
      <c r="D23" s="15" t="inlineStr">
        <is>
          <t>Krukenberg Tumor</t>
        </is>
      </c>
      <c r="E23" s="15" t="inlineStr">
        <is>
          <t>Sister Mary Joseph Nodule</t>
        </is>
      </c>
      <c r="F23" s="15" t="inlineStr">
        <is>
          <t>Blumer's Shelf</t>
        </is>
      </c>
      <c r="G23" s="15" t="inlineStr">
        <is>
          <t>Irish Node</t>
        </is>
      </c>
      <c r="H23" s="16" t="n"/>
      <c r="I23" s="17">
        <f>IF(ISBLANK(H23), "", IF(H23='Answer Key &amp; Explanations'!C23, "✅ Correct", "❌ Incorrect (See Key)"))</f>
        <v/>
      </c>
    </row>
    <row r="24" ht="45" customHeight="1">
      <c r="A24" s="18" t="inlineStr">
        <is>
          <t>Q16</t>
        </is>
      </c>
      <c r="B24" s="19" t="inlineStr">
        <is>
          <t>What is the clinical sign denoting metastatic enlargement of the left supraclavicular lymph node in advanced gastric or upper GI cancer?</t>
        </is>
      </c>
      <c r="C24" s="19" t="inlineStr">
        <is>
          <t>Sister Mary Joseph Nodule</t>
        </is>
      </c>
      <c r="D24" s="19" t="inlineStr">
        <is>
          <t>Virchow's Node (Trousier's sign)</t>
        </is>
      </c>
      <c r="E24" s="19" t="inlineStr">
        <is>
          <t>Blumer's Shelf</t>
        </is>
      </c>
      <c r="F24" s="19" t="inlineStr">
        <is>
          <t>Trousseau's Sign</t>
        </is>
      </c>
      <c r="G24" s="19" t="inlineStr">
        <is>
          <t>Cullen's Sign</t>
        </is>
      </c>
      <c r="H24" s="16" t="n"/>
      <c r="I24" s="20">
        <f>IF(ISBLANK(H24), "", IF(H24='Answer Key &amp; Explanations'!C24, "✅ Correct", "❌ Incorrect (See Key)"))</f>
        <v/>
      </c>
    </row>
    <row r="25" ht="45" customHeight="1">
      <c r="A25" s="14" t="inlineStr">
        <is>
          <t>Q17</t>
        </is>
      </c>
      <c r="B25" s="15" t="inlineStr">
        <is>
          <t>A 40-year-old male with long-standing duodenal ulcer disease presents with persistent projectile non-bilious vomiting containing undigested food eaten days prior, weight loss, and succession splash. What metabolic abnormality is expected?</t>
        </is>
      </c>
      <c r="C25" s="15" t="inlineStr">
        <is>
          <t>Hyperkalemic metabolic acidosis</t>
        </is>
      </c>
      <c r="D25" s="15" t="inlineStr">
        <is>
          <t>Hypochloremic hypokalemic metabolic alkalosis with paradoxical aciduria</t>
        </is>
      </c>
      <c r="E25" s="15" t="inlineStr">
        <is>
          <t>Hyperchloremic metabolic acidosis</t>
        </is>
      </c>
      <c r="F25" s="15" t="inlineStr">
        <is>
          <t>Hyponatremic metabolic acidosis</t>
        </is>
      </c>
      <c r="G25" s="15" t="inlineStr">
        <is>
          <t>Normal electrolyte profile</t>
        </is>
      </c>
      <c r="H25" s="16" t="n"/>
      <c r="I25" s="17">
        <f>IF(ISBLANK(H25), "", IF(H25='Answer Key &amp; Explanations'!C25, "✅ Correct", "❌ Incorrect (See Key)"))</f>
        <v/>
      </c>
    </row>
    <row r="26" ht="45" customHeight="1">
      <c r="A26" s="18" t="inlineStr">
        <is>
          <t>Q18</t>
        </is>
      </c>
      <c r="B26" s="19" t="inlineStr">
        <is>
          <t>What is the initial diagnostic and therapeutic bedside intervention for Gastric Outlet Obstruction?</t>
        </is>
      </c>
      <c r="C26" s="19" t="inlineStr">
        <is>
          <t>Immediate distal gastrectomy</t>
        </is>
      </c>
      <c r="D26" s="19" t="inlineStr">
        <is>
          <t>Wide-bore Nasogastric Tube decompression &amp; vigorous Normal Saline saline resuscitation</t>
        </is>
      </c>
      <c r="E26" s="19" t="inlineStr">
        <is>
          <t>Oral barium meal</t>
        </is>
      </c>
      <c r="F26" s="19" t="inlineStr">
        <is>
          <t>Emergency vagotomy</t>
        </is>
      </c>
      <c r="G26" s="19" t="inlineStr">
        <is>
          <t>Empiric oral PPIs</t>
        </is>
      </c>
      <c r="H26" s="16" t="n"/>
      <c r="I26" s="20">
        <f>IF(ISBLANK(H26), "", IF(H26='Answer Key &amp; Explanations'!C26, "✅ Correct", "❌ Incorrect (See Key)"))</f>
        <v/>
      </c>
    </row>
    <row r="27" ht="45" customHeight="1">
      <c r="A27" s="14" t="inlineStr">
        <is>
          <t>Q19</t>
        </is>
      </c>
      <c r="B27" s="15" t="inlineStr">
        <is>
          <t>A 48-year-old male presenting with severe epigastric pain undergoes upper endoscopy. Biopsy confirms H. pylori infection. What is the standard first-line triple therapy eradication regimen?</t>
        </is>
      </c>
      <c r="C27" s="15" t="inlineStr">
        <is>
          <t>PPI + Amoxicillin + Clarithromycin for 7-14 days</t>
        </is>
      </c>
      <c r="D27" s="15" t="inlineStr">
        <is>
          <t>PPI + Metronidazole + Tetracycline for 3 days</t>
        </is>
      </c>
      <c r="E27" s="15" t="inlineStr">
        <is>
          <t>H2 blocker + Ciprofloxacin + Doxycycline</t>
        </is>
      </c>
      <c r="F27" s="15" t="inlineStr">
        <is>
          <t>PPI alone for 6 months</t>
        </is>
      </c>
      <c r="G27" s="15" t="inlineStr">
        <is>
          <t>Antacids + Sucralfate + Bismuth</t>
        </is>
      </c>
      <c r="H27" s="16" t="n"/>
      <c r="I27" s="17">
        <f>IF(ISBLANK(H27), "", IF(H27='Answer Key &amp; Explanations'!C27, "✅ Correct", "❌ Incorrect (See Key)"))</f>
        <v/>
      </c>
    </row>
    <row r="28" ht="45" customHeight="1">
      <c r="A28" s="18" t="inlineStr">
        <is>
          <t>Q20</t>
        </is>
      </c>
      <c r="B28" s="19" t="inlineStr">
        <is>
          <t>A 32-year-old heavy drinker develops severe hematemesis following multiple episodes of violent, non-bloody retching after an alcoholic binge. What is the underlying cause?</t>
        </is>
      </c>
      <c r="C28" s="19" t="inlineStr">
        <is>
          <t>Bleeding esophageal varices</t>
        </is>
      </c>
      <c r="D28" s="19" t="inlineStr">
        <is>
          <t>Mallory-Weiss Tear</t>
        </is>
      </c>
      <c r="E28" s="19" t="inlineStr">
        <is>
          <t>Boerhaave Syndrome</t>
        </is>
      </c>
      <c r="F28" s="19" t="inlineStr">
        <is>
          <t>Peptic Ulcer Perforation</t>
        </is>
      </c>
      <c r="G28" s="19" t="inlineStr">
        <is>
          <t>Dieulafoy Lesion</t>
        </is>
      </c>
      <c r="H28" s="16" t="n"/>
      <c r="I28" s="20">
        <f>IF(ISBLANK(H28), "", IF(H28='Answer Key &amp; Explanations'!C28, "✅ Correct", "❌ Incorrect (See Key)"))</f>
        <v/>
      </c>
    </row>
    <row r="29" ht="45" customHeight="1">
      <c r="A29" s="14" t="inlineStr">
        <is>
          <t>Q21</t>
        </is>
      </c>
      <c r="B29" s="15" t="inlineStr">
        <is>
          <t>How does Boerhaave Syndrome differ pathologically and clinically from a Mallory-Weiss Tear?</t>
        </is>
      </c>
      <c r="C29" s="15" t="inlineStr">
        <is>
          <t>Boerhaave is mucosal-only bleeding; Mallory-Weiss is transmural perforation.</t>
        </is>
      </c>
      <c r="D29" s="15" t="inlineStr">
        <is>
          <t>Boerhaave is a complete transmural esophageal perforation; Mallory-Weiss is a mucosal tear.</t>
        </is>
      </c>
      <c r="E29" s="15" t="inlineStr">
        <is>
          <t>Boerhaave occurs in the duodenum; Mallory-Weiss in stomach.</t>
        </is>
      </c>
      <c r="F29" s="15" t="inlineStr">
        <is>
          <t>Boerhaave causes painless melena; Mallory-Weiss causes stridor.</t>
        </is>
      </c>
      <c r="G29" s="15" t="inlineStr">
        <is>
          <t>There is no difference.</t>
        </is>
      </c>
      <c r="H29" s="16" t="n"/>
      <c r="I29" s="17">
        <f>IF(ISBLANK(H29), "", IF(H29='Answer Key &amp; Explanations'!C29, "✅ Correct", "❌ Incorrect (See Key)"))</f>
        <v/>
      </c>
    </row>
    <row r="30" ht="45" customHeight="1">
      <c r="A30" s="18" t="inlineStr">
        <is>
          <t>Q22</t>
        </is>
      </c>
      <c r="B30" s="19" t="inlineStr">
        <is>
          <t>A 55-year-old male presents with sudden, agonizing, 'thunderclap' epigastric pain that rapidly becomes generalized. On exam, he has board-like abdominal rigidity, absent bowel sounds, and loss of liver dullness. What imaging confirms the diagnosis?</t>
        </is>
      </c>
      <c r="C30" s="19" t="inlineStr">
        <is>
          <t>Erect Chest X-ray showing gas under the diaphragm (pneumoperitoneum)</t>
        </is>
      </c>
      <c r="D30" s="19" t="inlineStr">
        <is>
          <t>Abdominal Ultrasound</t>
        </is>
      </c>
      <c r="E30" s="19" t="inlineStr">
        <is>
          <t>Barium Swallow</t>
        </is>
      </c>
      <c r="F30" s="19" t="inlineStr">
        <is>
          <t>Intravenous Urogram</t>
        </is>
      </c>
      <c r="G30" s="19" t="inlineStr">
        <is>
          <t>ECG</t>
        </is>
      </c>
      <c r="H30" s="16" t="n"/>
      <c r="I30" s="20">
        <f>IF(ISBLANK(H30), "", IF(H30='Answer Key &amp; Explanations'!C30, "✅ Correct", "❌ Incorrect (See Key)"))</f>
        <v/>
      </c>
    </row>
    <row r="31" ht="45" customHeight="1">
      <c r="A31" s="14" t="inlineStr">
        <is>
          <t>Q23</t>
        </is>
      </c>
      <c r="B31" s="15" t="inlineStr">
        <is>
          <t>What is the standard surgical repair technique for a perforated peptic ulcer in a hemodynamically stable patient?</t>
        </is>
      </c>
      <c r="C31" s="15" t="inlineStr">
        <is>
          <t>Total Gastrectomy</t>
        </is>
      </c>
      <c r="D31" s="15" t="inlineStr">
        <is>
          <t>Primary omental patch closure (Cellan-Jones or Graham patch repair)</t>
        </is>
      </c>
      <c r="E31" s="15" t="inlineStr">
        <is>
          <t>Billroth II reconstruction</t>
        </is>
      </c>
      <c r="F31" s="15" t="inlineStr">
        <is>
          <t>Roux-en-Y Esophagojejunostomy</t>
        </is>
      </c>
      <c r="G31" s="15" t="inlineStr">
        <is>
          <t>Esophagectomy</t>
        </is>
      </c>
      <c r="H31" s="16" t="n"/>
      <c r="I31" s="17">
        <f>IF(ISBLANK(H31), "", IF(H31='Answer Key &amp; Explanations'!C31, "✅ Correct", "❌ Incorrect (See Key)"))</f>
        <v/>
      </c>
    </row>
    <row r="32" ht="45" customHeight="1">
      <c r="A32" s="18" t="inlineStr">
        <is>
          <t>Q24</t>
        </is>
      </c>
      <c r="B32" s="19" t="inlineStr">
        <is>
          <t>Which type of Esophageal Carcinoma is most strongly associated with chronic GERD, Barrett's Esophagus, and Central Obesity, typically arising in the lower third of the esophagus?</t>
        </is>
      </c>
      <c r="C32" s="19" t="inlineStr">
        <is>
          <t>Squamous Cell Carcinoma</t>
        </is>
      </c>
      <c r="D32" s="19" t="inlineStr">
        <is>
          <t>Esophageal Adenocarcinoma</t>
        </is>
      </c>
      <c r="E32" s="19" t="inlineStr">
        <is>
          <t>Leiomyosarcoma</t>
        </is>
      </c>
      <c r="F32" s="19" t="inlineStr">
        <is>
          <t>Small Cell Carcinoma</t>
        </is>
      </c>
      <c r="G32" s="19" t="inlineStr">
        <is>
          <t>GIST</t>
        </is>
      </c>
      <c r="H32" s="16" t="n"/>
      <c r="I32" s="20">
        <f>IF(ISBLANK(H32), "", IF(H32='Answer Key &amp; Explanations'!C32, "✅ Correct", "❌ Incorrect (See Key)"))</f>
        <v/>
      </c>
    </row>
    <row r="33" ht="45" customHeight="1">
      <c r="A33" s="14" t="inlineStr">
        <is>
          <t>Q25</t>
        </is>
      </c>
      <c r="B33" s="15" t="inlineStr">
        <is>
          <t>Which surgical procedure involves subtotal esophagectomy via two separate incisions (right thoracotomy and laparotomy) with intrathoracic esophagogastric anastomosis?</t>
        </is>
      </c>
      <c r="C33" s="15" t="inlineStr">
        <is>
          <t>McKeown (Three-incision) Esophagectomy</t>
        </is>
      </c>
      <c r="D33" s="15" t="inlineStr">
        <is>
          <t>Ivor Lewis Esophagectomy</t>
        </is>
      </c>
      <c r="E33" s="15" t="inlineStr">
        <is>
          <t>Transhiatal Esophagectomy</t>
        </is>
      </c>
      <c r="F33" s="15" t="inlineStr">
        <is>
          <t>Whipple Procedure</t>
        </is>
      </c>
      <c r="G33" s="15" t="inlineStr">
        <is>
          <t>Hartmann's Procedure</t>
        </is>
      </c>
      <c r="H33" s="16" t="n"/>
      <c r="I33" s="17">
        <f>IF(ISBLANK(H33), "", IF(H33='Answer Key &amp; Explanations'!C33, "✅ Correct", "❌ Incorrect (See Key)"))</f>
        <v/>
      </c>
    </row>
    <row r="34" ht="45" customHeight="1">
      <c r="A34" s="18" t="inlineStr">
        <is>
          <t>Q26</t>
        </is>
      </c>
      <c r="B34" s="19" t="inlineStr">
        <is>
          <t>A 45-year-old male presents with progressive dysphagia and weight loss. Endoscopy shows a large friable mass at 28 cm from incisors. Biopsy confirms Squamous Cell Carcinoma. What are the major risk factors?</t>
        </is>
      </c>
      <c r="C34" s="19" t="inlineStr">
        <is>
          <t>GERD and Barrett's Esophagus</t>
        </is>
      </c>
      <c r="D34" s="19" t="inlineStr">
        <is>
          <t>Smoking, Alcohol, Betel nut chewing, and Caustic ingestion</t>
        </is>
      </c>
      <c r="E34" s="19" t="inlineStr">
        <is>
          <t>High-fat diet and gluten sensitivity</t>
        </is>
      </c>
      <c r="F34" s="19" t="inlineStr">
        <is>
          <t>H. pylori infection</t>
        </is>
      </c>
      <c r="G34" s="19" t="inlineStr">
        <is>
          <t>Family history of BRCA1</t>
        </is>
      </c>
      <c r="H34" s="16" t="n"/>
      <c r="I34" s="20">
        <f>IF(ISBLANK(H34), "", IF(H34='Answer Key &amp; Explanations'!C34, "✅ Correct", "❌ Incorrect (See Key)"))</f>
        <v/>
      </c>
    </row>
    <row r="35" ht="45" customHeight="1">
      <c r="A35" s="14" t="inlineStr">
        <is>
          <t>Q27</t>
        </is>
      </c>
      <c r="B35" s="15" t="inlineStr">
        <is>
          <t>In a patient presenting with dyspepsia, what are the 'Alarm Features' (Red Flags) that mandate immediate diagnostic Upper GI Endoscopy?</t>
        </is>
      </c>
      <c r="C35" s="15" t="inlineStr">
        <is>
          <t>Dysphagia, Unintentional Weight Loss, Persistent Vomiting, Anemia/Hematemesis, Epigastric Mass (Age &gt; 55)</t>
        </is>
      </c>
      <c r="D35" s="15" t="inlineStr">
        <is>
          <t>Mild heartburn after meals</t>
        </is>
      </c>
      <c r="E35" s="15" t="inlineStr">
        <is>
          <t>Bloating relieved by flatus</t>
        </is>
      </c>
      <c r="F35" s="15" t="inlineStr">
        <is>
          <t>Constipation for 2 days</t>
        </is>
      </c>
      <c r="G35" s="15" t="inlineStr">
        <is>
          <t>Transient nausea</t>
        </is>
      </c>
      <c r="H35" s="16" t="n"/>
      <c r="I35" s="17">
        <f>IF(ISBLANK(H35), "", IF(H35='Answer Key &amp; Explanations'!C35, "✅ Correct", "❌ Incorrect (See Key)"))</f>
        <v/>
      </c>
    </row>
    <row r="36" ht="45" customHeight="1">
      <c r="A36" s="18" t="inlineStr">
        <is>
          <t>Q28</t>
        </is>
      </c>
      <c r="B36" s="19" t="inlineStr">
        <is>
          <t>What non-invasive test is used to confirm eradication of Helicobacter pylori 4-8 weeks after completing triple therapy?</t>
        </is>
      </c>
      <c r="C36" s="19" t="inlineStr">
        <is>
          <t>Serum IgG antibody test</t>
        </is>
      </c>
      <c r="D36" s="19" t="inlineStr">
        <is>
          <t>13C-Urea Breath Test (UBT) or Stool Antigen Test</t>
        </is>
      </c>
      <c r="E36" s="19" t="inlineStr">
        <is>
          <t>Barium meal</t>
        </is>
      </c>
      <c r="F36" s="19" t="inlineStr">
        <is>
          <t>Abdominal Ultrasound</t>
        </is>
      </c>
      <c r="G36" s="19" t="inlineStr">
        <is>
          <t>Full Blood Count</t>
        </is>
      </c>
      <c r="H36" s="16" t="n"/>
      <c r="I36" s="20">
        <f>IF(ISBLANK(H36), "", IF(H36='Answer Key &amp; Explanations'!C36, "✅ Correct", "❌ Incorrect (See Key)"))</f>
        <v/>
      </c>
    </row>
    <row r="37" ht="45" customHeight="1">
      <c r="A37" s="14" t="inlineStr">
        <is>
          <t>Q29</t>
        </is>
      </c>
      <c r="B37" s="15" t="inlineStr">
        <is>
          <t>A 60-year-old cirrhotic patient presenting with acute variceal bleeding receives emergency endoscopic variceal band ligation (EVL). What long-term pharmacological therapy should be prescribed for secondary prophylaxis?</t>
        </is>
      </c>
      <c r="C37" s="15" t="inlineStr">
        <is>
          <t>Non-selective Beta-blockers (e.g., Propranolol or Carvedilol)</t>
        </is>
      </c>
      <c r="D37" s="15" t="inlineStr">
        <is>
          <t>Oral Antacids</t>
        </is>
      </c>
      <c r="E37" s="15" t="inlineStr">
        <is>
          <t>Proton Pump Inhibitors alone</t>
        </is>
      </c>
      <c r="F37" s="15" t="inlineStr">
        <is>
          <t>Warfarin</t>
        </is>
      </c>
      <c r="G37" s="15" t="inlineStr">
        <is>
          <t>Spironolactone alone</t>
        </is>
      </c>
      <c r="H37" s="16" t="n"/>
      <c r="I37" s="17">
        <f>IF(ISBLANK(H37), "", IF(H37='Answer Key &amp; Explanations'!C37, "✅ Correct", "❌ Incorrect (See Key)"))</f>
        <v/>
      </c>
    </row>
    <row r="38" ht="45" customHeight="1">
      <c r="A38" s="18" t="inlineStr">
        <is>
          <t>Q30</t>
        </is>
      </c>
      <c r="B38" s="19" t="inlineStr">
        <is>
          <t>A 65-year-old patient with unresectable, advanced carcinoma of the middle third of the esophagus presents with complete inability to swallow even saliva. What is the most appropriate palliative intervention?</t>
        </is>
      </c>
      <c r="C38" s="19" t="inlineStr">
        <is>
          <t>Emergency total gastrectomy</t>
        </is>
      </c>
      <c r="D38" s="19" t="inlineStr">
        <is>
          <t>Endoscopic insertion of a Self-Expanding Metal Stent (SEMS)</t>
        </is>
      </c>
      <c r="E38" s="19" t="inlineStr">
        <is>
          <t>High-dose oral chemotherapy</t>
        </is>
      </c>
      <c r="F38" s="19" t="inlineStr">
        <is>
          <t>Barium swallow examination</t>
        </is>
      </c>
      <c r="G38" s="19" t="inlineStr">
        <is>
          <t>Repeated rigid dilation alone</t>
        </is>
      </c>
      <c r="H38" s="16" t="n"/>
      <c r="I38" s="20">
        <f>IF(ISBLANK(H38), "", IF(H38='Answer Key &amp; Explanations'!C38, "✅ Correct", "❌ Incorrect (See Key)"))</f>
        <v/>
      </c>
    </row>
  </sheetData>
  <mergeCells count="2">
    <mergeCell ref="A1:I1"/>
    <mergeCell ref="A3:C3"/>
  </mergeCells>
  <dataValidations count="1">
    <dataValidation sqref="H9 H10 H11 H12 H13 H14 H15 H16 H17 H18 H19 H20 H21 H22 H23 H24 H25 H26 H27 H28 H29 H30 H31 H32 H33 H34 H35 H36 H37 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65" customWidth="1" min="4" max="4"/>
    <col width="35" customWidth="1" min="5" max="5"/>
  </cols>
  <sheetData>
    <row r="1">
      <c r="A1" s="1" t="inlineStr">
        <is>
          <t>MODULE 4: ANSWER KEY &amp; DEEP CLINICAL EXPLANATIONS</t>
        </is>
      </c>
    </row>
    <row r="8" ht="25" customHeight="1">
      <c r="A8" s="13" t="inlineStr">
        <is>
          <t>Q#</t>
        </is>
      </c>
      <c r="B8" s="13" t="inlineStr">
        <is>
          <t>Question Topic / Summary</t>
        </is>
      </c>
      <c r="C8" s="13" t="inlineStr">
        <is>
          <t>Correct Answer</t>
        </is>
      </c>
      <c r="D8" s="13" t="inlineStr">
        <is>
          <t>Deep Clinical Explanation &amp; Rationales</t>
        </is>
      </c>
      <c r="E8" s="13" t="inlineStr">
        <is>
          <t>Source Grounding &amp; Key Surgical Principles</t>
        </is>
      </c>
    </row>
    <row r="9" ht="45" customHeight="1">
      <c r="A9" s="14" t="inlineStr">
        <is>
          <t>Q1</t>
        </is>
      </c>
      <c r="B9" s="15" t="inlineStr">
        <is>
          <t>A 45-year-old male presents with sudden hematemesis of 1000 ...</t>
        </is>
      </c>
      <c r="C9" s="21" t="inlineStr">
        <is>
          <t>B</t>
        </is>
      </c>
      <c r="D9" s="15" t="inlineStr">
        <is>
          <t>Upper GI bleeding requires immediate resuscitation: Airway, Breathing, two large-bore 14G/16G IV lines, and IV crystalloid/colloid infusion to restore circulating volume before diagnostic endoscopy.</t>
        </is>
      </c>
      <c r="E9" s="15" t="inlineStr">
        <is>
          <t>Upper GI Surgery Lectures (UGIB, Ca Esophagus, Gastric Cancer)</t>
        </is>
      </c>
    </row>
    <row r="10" ht="45" customHeight="1">
      <c r="A10" s="18" t="inlineStr">
        <is>
          <t>Q2</t>
        </is>
      </c>
      <c r="B10" s="19" t="inlineStr">
        <is>
          <t>Which clinical feature most reliably distinguishes Hematemes...</t>
        </is>
      </c>
      <c r="C10" s="21" t="inlineStr">
        <is>
          <t>B</t>
        </is>
      </c>
      <c r="D10" s="19" t="inlineStr">
        <is>
          <t>Hemoptysis is coughed up, bright red, frothy, and alkaline in pH, whereas hematemesis is vomited, dark/coffee-ground, non-frothy, acidic, and mixed with food particles.</t>
        </is>
      </c>
      <c r="E10" s="19" t="inlineStr">
        <is>
          <t>Upper GI Surgery Lectures (UGIB, Ca Esophagus, Gastric Cancer)</t>
        </is>
      </c>
    </row>
    <row r="11" ht="45" customHeight="1">
      <c r="A11" s="14" t="inlineStr">
        <is>
          <t>Q3</t>
        </is>
      </c>
      <c r="B11" s="15" t="inlineStr">
        <is>
          <t>A 55-year-old chronic NSAID user presents with severe epigas...</t>
        </is>
      </c>
      <c r="C11" s="21" t="inlineStr">
        <is>
          <t>B</t>
        </is>
      </c>
      <c r="D11" s="15" t="inlineStr">
        <is>
          <t>Endoscopic combination therapy (e.g., dilute adrenaline injection combined with mechanical hemoclips or thermal electrocautery) is the gold standard for active peptic ulcer bleeding.</t>
        </is>
      </c>
      <c r="E11" s="15" t="inlineStr">
        <is>
          <t>Upper GI Surgery Lectures (UGIB, Ca Esophagus, Gastric Cancer)</t>
        </is>
      </c>
    </row>
    <row r="12" ht="45" customHeight="1">
      <c r="A12" s="18" t="inlineStr">
        <is>
          <t>Q4</t>
        </is>
      </c>
      <c r="B12" s="19" t="inlineStr">
        <is>
          <t>A 50-year-old cirrhotic patient presents with massive varice...</t>
        </is>
      </c>
      <c r="C12" s="21" t="inlineStr">
        <is>
          <t>B</t>
        </is>
      </c>
      <c r="D12" s="19" t="inlineStr">
        <is>
          <t>Vasoactive drugs (Terlipressin, Octreotide, or Somatostatin) reduce splanchnic blood flow and portal venous pressure, and should be initiated immediately upon suspected variceal hemorrhage.</t>
        </is>
      </c>
      <c r="E12" s="19" t="inlineStr">
        <is>
          <t>Upper GI Surgery Lectures (UGIB, Ca Esophagus, Gastric Cancer)</t>
        </is>
      </c>
    </row>
    <row r="13" ht="45" customHeight="1">
      <c r="A13" s="14" t="inlineStr">
        <is>
          <t>Q5</t>
        </is>
      </c>
      <c r="B13" s="15" t="inlineStr">
        <is>
          <t>In a patient with bleeding esophageal varices uncontrolled b...</t>
        </is>
      </c>
      <c r="C13" s="21" t="inlineStr">
        <is>
          <t>B</t>
        </is>
      </c>
      <c r="D13" s="15" t="inlineStr">
        <is>
          <t>The Sengstaken-Blakemore tube (or Minnesota tube) provides temporary double-balloon compression (gastric and esophageal) to control refractory life-threatening variceal hemorrhage.</t>
        </is>
      </c>
      <c r="E13" s="15" t="inlineStr">
        <is>
          <t>Upper GI Surgery Lectures (UGIB, Ca Esophagus, Gastric Cancer)</t>
        </is>
      </c>
    </row>
    <row r="14" ht="45" customHeight="1">
      <c r="A14" s="18" t="inlineStr">
        <is>
          <t>Q6</t>
        </is>
      </c>
      <c r="B14" s="19" t="inlineStr">
        <is>
          <t>Which scoring system is validated for pre-endoscopy risk str...</t>
        </is>
      </c>
      <c r="C14" s="21" t="inlineStr">
        <is>
          <t>A</t>
        </is>
      </c>
      <c r="D14" s="19" t="inlineStr">
        <is>
          <t>The Glasgow-Blatchford Score (GBS) uses pre-endoscopic clinical/lab parameters (urea, Hb, SBP, pulse, melena, syncope) to identify ultra-low-risk patients (score 0-1) safely managed outpatient.</t>
        </is>
      </c>
      <c r="E14" s="19" t="inlineStr">
        <is>
          <t>Upper GI Surgery Lectures (UGIB, Ca Esophagus, Gastric Cancer)</t>
        </is>
      </c>
    </row>
    <row r="15" ht="45" customHeight="1">
      <c r="A15" s="14" t="inlineStr">
        <is>
          <t>Q7</t>
        </is>
      </c>
      <c r="B15" s="15" t="inlineStr">
        <is>
          <t>A 62-year-old male with long-standing GERD presents with pro...</t>
        </is>
      </c>
      <c r="C15" s="21" t="inlineStr">
        <is>
          <t>B</t>
        </is>
      </c>
      <c r="D15" s="15" t="inlineStr">
        <is>
          <t>Flexible OGDS with multiple tissue biopsies is the definitive diagnostic modality for suspected esophageal malignancy, allowing direct visualization and histopathological confirmation.</t>
        </is>
      </c>
      <c r="E15" s="15" t="inlineStr">
        <is>
          <t>Upper GI Surgery Lectures (UGIB, Ca Esophagus, Gastric Cancer)</t>
        </is>
      </c>
    </row>
    <row r="16" ht="45" customHeight="1">
      <c r="A16" s="18" t="inlineStr">
        <is>
          <t>Q8</t>
        </is>
      </c>
      <c r="B16" s="19" t="inlineStr">
        <is>
          <t>Which esophageal wall layer is absent compared to the rest o...</t>
        </is>
      </c>
      <c r="C16" s="21" t="inlineStr">
        <is>
          <t>D</t>
        </is>
      </c>
      <c r="D16" s="19" t="inlineStr">
        <is>
          <t>The esophagus lacks a distinct outer serosal layer (it has adventitia instead), which facilitates rapid transmural growth and early invasion into surrounding mediastinal structures.</t>
        </is>
      </c>
      <c r="E16" s="19" t="inlineStr">
        <is>
          <t>Upper GI Surgery Lectures (UGIB, Ca Esophagus, Gastric Cancer)</t>
        </is>
      </c>
    </row>
    <row r="17" ht="45" customHeight="1">
      <c r="A17" s="14" t="inlineStr">
        <is>
          <t>Q9</t>
        </is>
      </c>
      <c r="B17" s="15" t="inlineStr">
        <is>
          <t>A 35-year-old female presents with a 2-year history of progr...</t>
        </is>
      </c>
      <c r="C17" s="21" t="inlineStr">
        <is>
          <t>B</t>
        </is>
      </c>
      <c r="D17" s="15" t="inlineStr">
        <is>
          <t>Achalasia Cardia typically affects younger adults (20-40 yrs) and presents with equal/simultaneous dysphagia to BOTH solids and liquids from the onset, along with regurgitation.</t>
        </is>
      </c>
      <c r="E17" s="15" t="inlineStr">
        <is>
          <t>Upper GI Surgery Lectures (UGIB, Ca Esophagus, Gastric Cancer)</t>
        </is>
      </c>
    </row>
    <row r="18" ht="45" customHeight="1">
      <c r="A18" s="18" t="inlineStr">
        <is>
          <t>Q10</t>
        </is>
      </c>
      <c r="B18" s="19" t="inlineStr">
        <is>
          <t>What classic pathognomonic finding is seen on Barium Swallow...</t>
        </is>
      </c>
      <c r="C18" s="21" t="inlineStr">
        <is>
          <t>B</t>
        </is>
      </c>
      <c r="D18" s="19" t="inlineStr">
        <is>
          <t>Barium swallow in Achalasia shows smooth, symmetrical, conical narrowing of the lower esophageal sphincter with distal smooth tapering, classically termed 'bird's-beak' or 'rat-tail' appearance.</t>
        </is>
      </c>
      <c r="E18" s="19" t="inlineStr">
        <is>
          <t>Upper GI Surgery Lectures (UGIB, Ca Esophagus, Gastric Cancer)</t>
        </is>
      </c>
    </row>
    <row r="19" ht="45" customHeight="1">
      <c r="A19" s="14" t="inlineStr">
        <is>
          <t>Q11</t>
        </is>
      </c>
      <c r="B19" s="15" t="inlineStr">
        <is>
          <t>What is the gold standard investigation for confirming the d...</t>
        </is>
      </c>
      <c r="C19" s="21" t="inlineStr">
        <is>
          <t>B</t>
        </is>
      </c>
      <c r="D19" s="15" t="inlineStr">
        <is>
          <t>High-Resolution Manometry is the gold standard diagnostic test for Achalasia, demonstrating incomplete LES relaxation (integrated relaxation pressure &gt; 15 mmHg) and aperistalsis.</t>
        </is>
      </c>
      <c r="E19" s="15" t="inlineStr">
        <is>
          <t>Upper GI Surgery Lectures (UGIB, Ca Esophagus, Gastric Cancer)</t>
        </is>
      </c>
    </row>
    <row r="20" ht="45" customHeight="1">
      <c r="A20" s="18" t="inlineStr">
        <is>
          <t>Q12</t>
        </is>
      </c>
      <c r="B20" s="19" t="inlineStr">
        <is>
          <t>Which surgical procedure is the definitive treatment of choi...</t>
        </is>
      </c>
      <c r="C20" s="21" t="inlineStr">
        <is>
          <t>B</t>
        </is>
      </c>
      <c r="D20" s="19" t="inlineStr">
        <is>
          <t>Laparoscopic Heller's Cardiomyotomy (dividing the lower esophageal circular muscle fibers) combined with an anti-reflux partial fundoplication (Dor or Toupet) is the surgical procedure of choice.</t>
        </is>
      </c>
      <c r="E20" s="19" t="inlineStr">
        <is>
          <t>Upper GI Surgery Lectures (UGIB, Ca Esophagus, Gastric Cancer)</t>
        </is>
      </c>
    </row>
    <row r="21" ht="45" customHeight="1">
      <c r="A21" s="14" t="inlineStr">
        <is>
          <t>Q13</t>
        </is>
      </c>
      <c r="B21" s="15" t="inlineStr">
        <is>
          <t>A 58-year-old male smoker presents with epigastric pain reli...</t>
        </is>
      </c>
      <c r="C21" s="21" t="inlineStr">
        <is>
          <t>B</t>
        </is>
      </c>
      <c r="D21" s="15" t="inlineStr">
        <is>
          <t>Gastric Adenocarcinoma accounts for over 90-95% of all malignant gastric neoplasms.</t>
        </is>
      </c>
      <c r="E21" s="15" t="inlineStr">
        <is>
          <t>Upper GI Surgery Lectures (UGIB, Ca Esophagus, Gastric Cancer)</t>
        </is>
      </c>
    </row>
    <row r="22" ht="45" customHeight="1">
      <c r="A22" s="18" t="inlineStr">
        <is>
          <t>Q14</t>
        </is>
      </c>
      <c r="B22" s="19" t="inlineStr">
        <is>
          <t>Which anatomical classification divides gastric carcinoma in...</t>
        </is>
      </c>
      <c r="C22" s="21" t="inlineStr">
        <is>
          <t>B</t>
        </is>
      </c>
      <c r="D22" s="19" t="inlineStr">
        <is>
          <t>The Lauren Classification categorizes gastric adenocarcinoma into two distinct epidemiological/histological types: Intestinal type and Diffuse type (signet-ring cell carcinoma).</t>
        </is>
      </c>
      <c r="E22" s="19" t="inlineStr">
        <is>
          <t>Upper GI Surgery Lectures (UGIB, Ca Esophagus, Gastric Cancer)</t>
        </is>
      </c>
    </row>
    <row r="23" ht="45" customHeight="1">
      <c r="A23" s="14" t="inlineStr">
        <is>
          <t>Q15</t>
        </is>
      </c>
      <c r="B23" s="15" t="inlineStr">
        <is>
          <t>A 50-year-old female presents with epigastric distress. Abdo...</t>
        </is>
      </c>
      <c r="C23" s="21" t="inlineStr">
        <is>
          <t>B</t>
        </is>
      </c>
      <c r="D23" s="15" t="inlineStr">
        <is>
          <t>A Krukenberg tumor is a metastatic signet-ring cell adenocarcinoma of the ovary, classically metastasized from a primary gastric carcinoma via transcoelomic seeding.</t>
        </is>
      </c>
      <c r="E23" s="15" t="inlineStr">
        <is>
          <t>Upper GI Surgery Lectures (UGIB, Ca Esophagus, Gastric Cancer)</t>
        </is>
      </c>
    </row>
    <row r="24" ht="45" customHeight="1">
      <c r="A24" s="18" t="inlineStr">
        <is>
          <t>Q16</t>
        </is>
      </c>
      <c r="B24" s="19" t="inlineStr">
        <is>
          <t>What is the clinical sign denoting metastatic enlargement of...</t>
        </is>
      </c>
      <c r="C24" s="21" t="inlineStr">
        <is>
          <t>B</t>
        </is>
      </c>
      <c r="D24" s="19" t="inlineStr">
        <is>
          <t>Virchow's node (signal node / Trousier's sign) is an enlarged left supraclavicular lymph node caused by metastatic spread via the thoracic duct from abdominal malignancies.</t>
        </is>
      </c>
      <c r="E24" s="19" t="inlineStr">
        <is>
          <t>Upper GI Surgery Lectures (UGIB, Ca Esophagus, Gastric Cancer)</t>
        </is>
      </c>
    </row>
    <row r="25" ht="45" customHeight="1">
      <c r="A25" s="14" t="inlineStr">
        <is>
          <t>Q17</t>
        </is>
      </c>
      <c r="B25" s="15" t="inlineStr">
        <is>
          <t>A 40-year-old male with long-standing duodenal ulcer disease...</t>
        </is>
      </c>
      <c r="C25" s="21" t="inlineStr">
        <is>
          <t>B</t>
        </is>
      </c>
      <c r="D25" s="15" t="inlineStr">
        <is>
          <t>Gastric Outlet Obstruction (GOO) leads to severe loss of acidic gastric juice (HCl), causing hypochloremic hypokalemic metabolic alkalosis with paradoxical aciduria.</t>
        </is>
      </c>
      <c r="E25" s="15" t="inlineStr">
        <is>
          <t>Upper GI Surgery Lectures (UGIB, Ca Esophagus, Gastric Cancer)</t>
        </is>
      </c>
    </row>
    <row r="26" ht="45" customHeight="1">
      <c r="A26" s="18" t="inlineStr">
        <is>
          <t>Q18</t>
        </is>
      </c>
      <c r="B26" s="19" t="inlineStr">
        <is>
          <t>What is the initial diagnostic and therapeutic bedside inter...</t>
        </is>
      </c>
      <c r="C26" s="21" t="inlineStr">
        <is>
          <t>B</t>
        </is>
      </c>
      <c r="D26" s="19" t="inlineStr">
        <is>
          <t>Initial management of GOO requires wide-bore NG tube suction (Ryle's tube) to decompress the dilated stomach, paired with IV 0.9% Normal Saline + KCl infusion to correct dehydration and alkalosis.</t>
        </is>
      </c>
      <c r="E26" s="19" t="inlineStr">
        <is>
          <t>Upper GI Surgery Lectures (UGIB, Ca Esophagus, Gastric Cancer)</t>
        </is>
      </c>
    </row>
    <row r="27" ht="45" customHeight="1">
      <c r="A27" s="14" t="inlineStr">
        <is>
          <t>Q19</t>
        </is>
      </c>
      <c r="B27" s="15" t="inlineStr">
        <is>
          <t>A 48-year-old male presenting with severe epigastric pain un...</t>
        </is>
      </c>
      <c r="C27" s="21" t="inlineStr">
        <is>
          <t>A</t>
        </is>
      </c>
      <c r="D27" s="15" t="inlineStr">
        <is>
          <t>Standard first-line H. pylori triple therapy consists of a Proton Pump Inhibitor (e.g. Omeprazole) + Amoxicillin 1g + Clarithromycin 500mg, given twice daily for 7 to 14 days.</t>
        </is>
      </c>
      <c r="E27" s="15" t="inlineStr">
        <is>
          <t>Upper GI Surgery Lectures (UGIB, Ca Esophagus, Gastric Cancer)</t>
        </is>
      </c>
    </row>
    <row r="28" ht="45" customHeight="1">
      <c r="A28" s="18" t="inlineStr">
        <is>
          <t>Q20</t>
        </is>
      </c>
      <c r="B28" s="19" t="inlineStr">
        <is>
          <t>A 32-year-old heavy drinker develops severe hematemesis foll...</t>
        </is>
      </c>
      <c r="C28" s="21" t="inlineStr">
        <is>
          <t>B</t>
        </is>
      </c>
      <c r="D28" s="19" t="inlineStr">
        <is>
          <t>Mallory-Weiss Syndrome is characterized by a longitudinal mucosal tear at the gastroesophageal junction triggered by a sudden increase in intraabdominal pressure during violent retching/vomiting.</t>
        </is>
      </c>
      <c r="E28" s="19" t="inlineStr">
        <is>
          <t>Upper GI Surgery Lectures (UGIB, Ca Esophagus, Gastric Cancer)</t>
        </is>
      </c>
    </row>
    <row r="29" ht="45" customHeight="1">
      <c r="A29" s="14" t="inlineStr">
        <is>
          <t>Q21</t>
        </is>
      </c>
      <c r="B29" s="15" t="inlineStr">
        <is>
          <t>How does Boerhaave Syndrome differ pathologically and clinic...</t>
        </is>
      </c>
      <c r="C29" s="21" t="inlineStr">
        <is>
          <t>B</t>
        </is>
      </c>
      <c r="D29" s="15" t="inlineStr">
        <is>
          <t>Boerhaave syndrome is a full-thickness transmural barogenic rupture of the distal esophagus leading to mediastinitis and surgical emergency, whereas Mallory-Weiss is a superficial mucosal/submucosal tear.</t>
        </is>
      </c>
      <c r="E29" s="15" t="inlineStr">
        <is>
          <t>Upper GI Surgery Lectures (UGIB, Ca Esophagus, Gastric Cancer)</t>
        </is>
      </c>
    </row>
    <row r="30" ht="45" customHeight="1">
      <c r="A30" s="18" t="inlineStr">
        <is>
          <t>Q22</t>
        </is>
      </c>
      <c r="B30" s="19" t="inlineStr">
        <is>
          <t>A 55-year-old male presents with sudden, agonizing, 'thunder...</t>
        </is>
      </c>
      <c r="C30" s="21" t="inlineStr">
        <is>
          <t>A</t>
        </is>
      </c>
      <c r="D30" s="19" t="inlineStr">
        <is>
          <t>Erect Chest X-ray is the investigation of choice for perforated peptic ulcer, demonstrating free gas under the diaphragm (pneumoperitoneum) in &gt;75-80% of cases.</t>
        </is>
      </c>
      <c r="E30" s="19" t="inlineStr">
        <is>
          <t>Upper GI Surgery Lectures (UGIB, Ca Esophagus, Gastric Cancer)</t>
        </is>
      </c>
    </row>
    <row r="31" ht="45" customHeight="1">
      <c r="A31" s="14" t="inlineStr">
        <is>
          <t>Q23</t>
        </is>
      </c>
      <c r="B31" s="15" t="inlineStr">
        <is>
          <t>What is the standard surgical repair technique for a perfora...</t>
        </is>
      </c>
      <c r="C31" s="21" t="inlineStr">
        <is>
          <t>B</t>
        </is>
      </c>
      <c r="D31" s="15" t="inlineStr">
        <is>
          <t>Primary suture closure reinforced with a pedicled omental patch (Graham or Cellan-Jones patch repair) is the standard surgical procedure for perforated peptic ulcers.</t>
        </is>
      </c>
      <c r="E31" s="15" t="inlineStr">
        <is>
          <t>Upper GI Surgery Lectures (UGIB, Ca Esophagus, Gastric Cancer)</t>
        </is>
      </c>
    </row>
    <row r="32" ht="45" customHeight="1">
      <c r="A32" s="18" t="inlineStr">
        <is>
          <t>Q24</t>
        </is>
      </c>
      <c r="B32" s="19" t="inlineStr">
        <is>
          <t>Which type of Esophageal Carcinoma is most strongly associat...</t>
        </is>
      </c>
      <c r="C32" s="21" t="inlineStr">
        <is>
          <t>B</t>
        </is>
      </c>
      <c r="D32" s="19" t="inlineStr">
        <is>
          <t>Adenocarcinoma of the esophagus arises from metaplastic columnar epithelium (Barrett's esophagus) secondary to long-standing GERD and obesity, predominantly in the lower third.</t>
        </is>
      </c>
      <c r="E32" s="19" t="inlineStr">
        <is>
          <t>Upper GI Surgery Lectures (UGIB, Ca Esophagus, Gastric Cancer)</t>
        </is>
      </c>
    </row>
    <row r="33" ht="45" customHeight="1">
      <c r="A33" s="14" t="inlineStr">
        <is>
          <t>Q25</t>
        </is>
      </c>
      <c r="B33" s="15" t="inlineStr">
        <is>
          <t>Which surgical procedure involves subtotal esophagectomy via...</t>
        </is>
      </c>
      <c r="C33" s="21" t="inlineStr">
        <is>
          <t>B</t>
        </is>
      </c>
      <c r="D33" s="15" t="inlineStr">
        <is>
          <t>The Ivor Lewis esophagectomy is a two-stage procedure (laparotomy and right thoracotomy) with creation of an intrathoracic esophagogastric anastomosis for middle/lower esophageal carcinoma.</t>
        </is>
      </c>
      <c r="E33" s="15" t="inlineStr">
        <is>
          <t>Upper GI Surgery Lectures (UGIB, Ca Esophagus, Gastric Cancer)</t>
        </is>
      </c>
    </row>
    <row r="34" ht="45" customHeight="1">
      <c r="A34" s="18" t="inlineStr">
        <is>
          <t>Q26</t>
        </is>
      </c>
      <c r="B34" s="19" t="inlineStr">
        <is>
          <t>A 45-year-old male presents with progressive dysphagia and w...</t>
        </is>
      </c>
      <c r="C34" s="21" t="inlineStr">
        <is>
          <t>B</t>
        </is>
      </c>
      <c r="D34" s="19" t="inlineStr">
        <is>
          <t>Squamous Cell Carcinoma of the esophagus is strongly linked to tobacco smoking, heavy alcohol consumption, betel nut chewing, hot beverage consumption, and prior caustic strictures.</t>
        </is>
      </c>
      <c r="E34" s="19" t="inlineStr">
        <is>
          <t>Upper GI Surgery Lectures (UGIB, Ca Esophagus, Gastric Cancer)</t>
        </is>
      </c>
    </row>
    <row r="35" ht="45" customHeight="1">
      <c r="A35" s="14" t="inlineStr">
        <is>
          <t>Q27</t>
        </is>
      </c>
      <c r="B35" s="15" t="inlineStr">
        <is>
          <t>In a patient presenting with dyspepsia, what are the 'Alarm ...</t>
        </is>
      </c>
      <c r="C35" s="21" t="inlineStr">
        <is>
          <t>A</t>
        </is>
      </c>
      <c r="D35" s="15" t="inlineStr">
        <is>
          <t>Red flag / alarm symptoms for upper GI malignancy include Dysphagia, Unintentional Weight Loss, Recurrent Vomiting, GI Bleeding/Anemia, Palpable Mass, and New-onset Dyspepsia in patients &gt; 55 yrs.</t>
        </is>
      </c>
      <c r="E35" s="15" t="inlineStr">
        <is>
          <t>Upper GI Surgery Lectures (UGIB, Ca Esophagus, Gastric Cancer)</t>
        </is>
      </c>
    </row>
    <row r="36" ht="45" customHeight="1">
      <c r="A36" s="18" t="inlineStr">
        <is>
          <t>Q28</t>
        </is>
      </c>
      <c r="B36" s="19" t="inlineStr">
        <is>
          <t>What non-invasive test is used to confirm eradication of Hel...</t>
        </is>
      </c>
      <c r="C36" s="21" t="inlineStr">
        <is>
          <t>B</t>
        </is>
      </c>
      <c r="D36" s="19" t="inlineStr">
        <is>
          <t>The Urea Breath Test (UBT) or Stool Antigen Test are non-invasive tests of active infection used to confirm H. pylori eradication at least 4 weeks post-treatment (serology remains positive for months).</t>
        </is>
      </c>
      <c r="E36" s="19" t="inlineStr">
        <is>
          <t>Upper GI Surgery Lectures (UGIB, Ca Esophagus, Gastric Cancer)</t>
        </is>
      </c>
    </row>
    <row r="37" ht="45" customHeight="1">
      <c r="A37" s="14" t="inlineStr">
        <is>
          <t>Q29</t>
        </is>
      </c>
      <c r="B37" s="15" t="inlineStr">
        <is>
          <t>A 60-year-old cirrhotic patient presenting with acute varice...</t>
        </is>
      </c>
      <c r="C37" s="21" t="inlineStr">
        <is>
          <t>A</t>
        </is>
      </c>
      <c r="D37" s="15" t="inlineStr">
        <is>
          <t>Non-selective beta-blockers (Propranolol, Nadolol, Carvedilol) reduce portal pressure by decrease cardiac output (beta-1) and splanchnic vasoconstriction (beta-2), preventing rebleeding.</t>
        </is>
      </c>
      <c r="E37" s="15" t="inlineStr">
        <is>
          <t>Upper GI Surgery Lectures (UGIB, Ca Esophagus, Gastric Cancer)</t>
        </is>
      </c>
    </row>
    <row r="38" ht="45" customHeight="1">
      <c r="A38" s="18" t="inlineStr">
        <is>
          <t>Q30</t>
        </is>
      </c>
      <c r="B38" s="19" t="inlineStr">
        <is>
          <t>A 65-year-old patient with unresectable, advanced carcinoma ...</t>
        </is>
      </c>
      <c r="C38" s="21" t="inlineStr">
        <is>
          <t>B</t>
        </is>
      </c>
      <c r="D38" s="19" t="inlineStr">
        <is>
          <t>Endoscopic placement of a Self-Expanding Metal Stent (SEMS) across the malignant esophageal stricture provides rapid, effective palliation of dysphagia in advanced unresectable disease.</t>
        </is>
      </c>
      <c r="E38" s="19" t="inlineStr">
        <is>
          <t>Upper GI Surgery Lectures (UGIB, Ca Esophagus, Gastric Cancer)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2026-10-05T02:34:34Z</dcterms:created>
  <dcterms:modified xmlns:dcterms="http://purl.org/dc/terms/" xmlns:xsi="http://www.w3.org/2001/XMLSchema-instance" xsi:type="dcterms:W3CDTF">2026-10-05T02:34:34Z</dcterms:modified>
</cp:coreProperties>
</file>