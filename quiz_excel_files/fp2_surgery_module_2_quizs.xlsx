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00FFFFFF"/>
      <sz val="14"/>
    </font>
    <font>
      <name val="Calibri"/>
      <b val="1"/>
      <sz val="11"/>
    </font>
    <font>
      <name val="Calibri"/>
      <sz val="11"/>
    </font>
    <font>
      <name val="Calibri"/>
      <b val="1"/>
      <color rgb="00FFFFFF"/>
      <sz val="11"/>
    </font>
    <font>
      <name val="Calibri"/>
      <b val="1"/>
      <sz val="12"/>
    </font>
  </fonts>
  <fills count="8">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pivotButton="0" quotePrefix="0" xfId="0"/>
    <xf numFmtId="0" fontId="4" fillId="3" borderId="1" applyAlignment="1" pivotButton="0" quotePrefix="0" xfId="0">
      <alignment horizontal="center" vertical="center"/>
    </xf>
    <xf numFmtId="0" fontId="3" fillId="0" borderId="1" applyAlignment="1" pivotButton="0" quotePrefix="0" xfId="0">
      <alignment horizontal="left" vertical="center"/>
    </xf>
    <xf numFmtId="0" fontId="2" fillId="0" borderId="1" applyAlignment="1" pivotButton="0" quotePrefix="0" xfId="0">
      <alignment horizontal="center" vertical="center"/>
    </xf>
    <xf numFmtId="0" fontId="2" fillId="4" borderId="1" pivotButton="0" quotePrefix="0" xfId="0"/>
    <xf numFmtId="0" fontId="3" fillId="0" borderId="1" pivotButton="0" quotePrefix="0" xfId="0"/>
    <xf numFmtId="0" fontId="2" fillId="5" borderId="1" pivotButton="0" quotePrefix="0" xfId="0"/>
    <xf numFmtId="0" fontId="4" fillId="2" borderId="1" pivotButton="0" quotePrefix="0" xfId="0"/>
    <xf numFmtId="0" fontId="2" fillId="6" borderId="1" pivotButton="0" quotePrefix="0" xfId="0"/>
    <xf numFmtId="0" fontId="4" fillId="3" borderId="0" applyAlignment="1" pivotButton="0" quotePrefix="0" xfId="0">
      <alignment horizontal="center" vertical="center"/>
    </xf>
    <xf numFmtId="0" fontId="2" fillId="0" borderId="1" pivotButton="0" quotePrefix="0" xfId="0"/>
    <xf numFmtId="0" fontId="5" fillId="5" borderId="1" applyAlignment="1" pivotButton="0" quotePrefix="0" xfId="0">
      <alignment horizontal="center" vertical="center"/>
    </xf>
    <xf numFmtId="164" fontId="5" fillId="5" borderId="1" applyAlignment="1" pivotButton="0" quotePrefix="0" xfId="0">
      <alignment horizontal="center" vertical="center"/>
    </xf>
    <xf numFmtId="0" fontId="4" fillId="2" borderId="1" applyAlignment="1" pivotButton="0" quotePrefix="0" xfId="0">
      <alignment horizontal="center" vertical="center"/>
    </xf>
    <xf numFmtId="0" fontId="2" fillId="7" borderId="1" applyAlignment="1" pivotButton="0" quotePrefix="0" xfId="0">
      <alignment horizontal="center" vertical="center"/>
    </xf>
    <xf numFmtId="0" fontId="3" fillId="7" borderId="1" applyAlignment="1" pivotButton="0" quotePrefix="0" xfId="0">
      <alignment horizontal="left" vertical="center" wrapText="1"/>
    </xf>
    <xf numFmtId="0" fontId="5"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3"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showGridLines="1"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MODULE 2: TRAUMA, BURNS, HEAD INJURY &amp; EMERGENCY SURGERY
30-Question Interactive Master Clinical Examination</t>
        </is>
      </c>
    </row>
    <row r="2"/>
    <row r="4">
      <c r="A4" s="2" t="inlineStr">
        <is>
          <t>Version Stamp:</t>
        </is>
      </c>
      <c r="B4" s="3" t="inlineStr">
        <is>
          <t>v1.0 | 30-Question Interactive Master Quiz</t>
        </is>
      </c>
    </row>
    <row r="6">
      <c r="A6" s="4" t="inlineStr">
        <is>
          <t>WORKBOOK NAVIGATION</t>
        </is>
      </c>
    </row>
    <row r="7">
      <c r="A7" s="5" t="inlineStr">
        <is>
          <t>Sheet Name</t>
        </is>
      </c>
      <c r="B7" s="5" t="inlineStr">
        <is>
          <t>Description</t>
        </is>
      </c>
      <c r="C7" s="5" t="inlineStr">
        <is>
          <t>Link</t>
        </is>
      </c>
    </row>
    <row r="8">
      <c r="A8" s="6" t="inlineStr">
        <is>
          <t>Interactive Quiz</t>
        </is>
      </c>
      <c r="B8" s="6" t="inlineStr">
        <is>
          <t>Student Examination Portal (30 MCQs, Real-time Scorecard)</t>
        </is>
      </c>
      <c r="C8" s="7">
        <f>HYPERLINK("# 'Interactive Quiz'!A1", "Go to Quiz →")</f>
        <v/>
      </c>
    </row>
    <row r="9">
      <c r="A9" s="6" t="inlineStr">
        <is>
          <t>Answer Key &amp; Explanations</t>
        </is>
      </c>
      <c r="B9" s="6" t="inlineStr">
        <is>
          <t>Instructor Portal (Correct Answers &amp; Detailed Rationales)</t>
        </is>
      </c>
      <c r="C9" s="7">
        <f>HYPERLINK("# 'Answer Key &amp; Explanations'!A1", "Go to Answer Key →")</f>
        <v/>
      </c>
    </row>
    <row r="12">
      <c r="A12" s="4" t="inlineStr">
        <is>
          <t>FORMATTING &amp; COLOR LEGEND</t>
        </is>
      </c>
    </row>
    <row r="13">
      <c r="A13" s="8" t="inlineStr">
        <is>
          <t>Light Blue Fill (#DCE6F1)</t>
        </is>
      </c>
      <c r="B13" s="9" t="inlineStr">
        <is>
          <t>Student Answer Input Cell (Column H - Dropdown A-E)</t>
        </is>
      </c>
    </row>
    <row r="14">
      <c r="A14" s="10" t="inlineStr">
        <is>
          <t>Light Green Fill (#E2EFDA)</t>
        </is>
      </c>
      <c r="B14" s="9" t="inlineStr">
        <is>
          <t>Computed Scorecard &amp; Live Formulas</t>
        </is>
      </c>
    </row>
    <row r="15">
      <c r="A15" s="11" t="inlineStr">
        <is>
          <t>Dark Blue Banner (#2F5496)</t>
        </is>
      </c>
      <c r="B15" s="9" t="inlineStr">
        <is>
          <t>Section Banners &amp; Header Formatting</t>
        </is>
      </c>
    </row>
    <row r="16">
      <c r="A16" s="12" t="inlineStr">
        <is>
          <t>Zebra Gray (#F2F2F2)</t>
        </is>
      </c>
      <c r="B16" s="9" t="inlineStr">
        <is>
          <t>Alternating Table Row Shading</t>
        </is>
      </c>
    </row>
  </sheetData>
  <mergeCells count="3">
    <mergeCell ref="A6:E6"/>
    <mergeCell ref="A12:E12"/>
    <mergeCell ref="A1: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1" workbookViewId="0">
      <selection activeCell="A1" sqref="A1"/>
    </sheetView>
  </sheetViews>
  <sheetFormatPr baseColWidth="8" defaultRowHeight="15"/>
  <cols>
    <col width="8" customWidth="1" min="1" max="1"/>
    <col width="45" customWidth="1" min="2" max="2"/>
    <col width="25" customWidth="1" min="3" max="3"/>
    <col width="25" customWidth="1" min="4" max="4"/>
    <col width="25" customWidth="1" min="5" max="5"/>
    <col width="25" customWidth="1" min="6" max="6"/>
    <col width="25" customWidth="1" min="7" max="7"/>
    <col width="15" customWidth="1" min="8" max="8"/>
    <col width="22" customWidth="1" min="9" max="9"/>
  </cols>
  <sheetData>
    <row r="1">
      <c r="A1" s="1" t="inlineStr">
        <is>
          <t>MODULE 2: TRAUMA, BURNS, HEAD INJURY &amp; EMERGENCY SURGERY - STUDENT EXAMINATION PORTAL</t>
        </is>
      </c>
    </row>
    <row r="2"/>
    <row r="3">
      <c r="A3" s="13" t="inlineStr">
        <is>
          <t>AUTOMATED SCORECARD</t>
        </is>
      </c>
    </row>
    <row r="4">
      <c r="A4" s="14" t="inlineStr">
        <is>
          <t>Questions Attempted:</t>
        </is>
      </c>
      <c r="B4" s="15">
        <f>COUNTA(H9:H38)</f>
        <v/>
      </c>
    </row>
    <row r="5">
      <c r="A5" s="14" t="inlineStr">
        <is>
          <t>Correct Answers:</t>
        </is>
      </c>
      <c r="B5" s="15">
        <f>COUNTIF(I9:I38, "*Correct*")</f>
        <v/>
      </c>
    </row>
    <row r="6">
      <c r="A6" s="14" t="inlineStr">
        <is>
          <t>Overall Score Grade %:</t>
        </is>
      </c>
      <c r="B6" s="16">
        <f>IF(B4=0, 0, B5/30)</f>
        <v/>
      </c>
    </row>
    <row r="8">
      <c r="A8" s="17" t="inlineStr">
        <is>
          <t>Q#</t>
        </is>
      </c>
      <c r="B8" s="17" t="inlineStr">
        <is>
          <t>Clinical Scenario / Question Stem</t>
        </is>
      </c>
      <c r="C8" s="17" t="inlineStr">
        <is>
          <t>Option A</t>
        </is>
      </c>
      <c r="D8" s="17" t="inlineStr">
        <is>
          <t>Option B</t>
        </is>
      </c>
      <c r="E8" s="17" t="inlineStr">
        <is>
          <t>Option C</t>
        </is>
      </c>
      <c r="F8" s="17" t="inlineStr">
        <is>
          <t>Option D</t>
        </is>
      </c>
      <c r="G8" s="17" t="inlineStr">
        <is>
          <t>Option E</t>
        </is>
      </c>
      <c r="H8" s="17" t="inlineStr">
        <is>
          <t>Your Answer</t>
        </is>
      </c>
      <c r="I8" s="17" t="inlineStr">
        <is>
          <t>Real-Time Grade</t>
        </is>
      </c>
    </row>
    <row r="9">
      <c r="A9" s="18" t="inlineStr">
        <is>
          <t>Q1</t>
        </is>
      </c>
      <c r="B9" s="19" t="inlineStr">
        <is>
          <t>A 17-year-old male is admitted 1 hour after being kicked in the left hypochondrium by a horse. Examination reveals pallor, severe left upper quadrant pain, PR 110/min, and BP 80/40 mmHg. What is the provisional diagnosis?</t>
        </is>
      </c>
      <c r="C9" s="19" t="inlineStr">
        <is>
          <t>Liver laceration</t>
        </is>
      </c>
      <c r="D9" s="19" t="inlineStr">
        <is>
          <t>Splenic rupture</t>
        </is>
      </c>
      <c r="E9" s="19" t="inlineStr">
        <is>
          <t>Renal contusion</t>
        </is>
      </c>
      <c r="F9" s="19" t="inlineStr">
        <is>
          <t>Diaphragmatic rupture</t>
        </is>
      </c>
      <c r="G9" s="19" t="inlineStr">
        <is>
          <t>Mesenteric tear</t>
        </is>
      </c>
      <c r="H9" s="20" t="inlineStr"/>
      <c r="I9" s="21">
        <f>IF(ISBLANK(H9), "", IF(H9='Answer Key &amp; Explanations'!C9, "✅ Correct", "❌ Incorrect (See Key)"))</f>
        <v/>
      </c>
    </row>
    <row r="10">
      <c r="A10" s="22" t="inlineStr">
        <is>
          <t>Q2</t>
        </is>
      </c>
      <c r="B10" s="23" t="inlineStr">
        <is>
          <t>In the ATLS Primary Survey of a trauma patient, which of the following is the correct priority sequence?</t>
        </is>
      </c>
      <c r="C10" s="23" t="inlineStr">
        <is>
          <t>Airway, Breathing, Circulation, Disability, Exposure</t>
        </is>
      </c>
      <c r="D10" s="23" t="inlineStr">
        <is>
          <t>Breathing, Airway, Circulation, Exposure, Disability</t>
        </is>
      </c>
      <c r="E10" s="23" t="inlineStr">
        <is>
          <t>Circulation, Airway, Breathing, Disability, Exposure</t>
        </is>
      </c>
      <c r="F10" s="23" t="inlineStr">
        <is>
          <t>Airway, Circulation, Breathing, Exposure, Disability</t>
        </is>
      </c>
      <c r="G10" s="23" t="inlineStr">
        <is>
          <t>Disability, Airway, Breathing, Circulation, Exposure</t>
        </is>
      </c>
      <c r="H10" s="20" t="inlineStr"/>
      <c r="I10" s="21">
        <f>IF(ISBLANK(H10), "", IF(H10='Answer Key &amp; Explanations'!C10, "✅ Correct", "❌ Incorrect (See Key)"))</f>
        <v/>
      </c>
    </row>
    <row r="11">
      <c r="A11" s="18" t="inlineStr">
        <is>
          <t>Q3</t>
        </is>
      </c>
      <c r="B11" s="19" t="inlineStr">
        <is>
          <t>A 40-year-old butcher is admitted after accidentally stabbing himself in the thigh. On initial ATLS primary survey, which of the following is NOT routinely prioritized in isolated penetrating trauma without neck injury?</t>
        </is>
      </c>
      <c r="C11" s="19" t="inlineStr">
        <is>
          <t>Airway maintenance</t>
        </is>
      </c>
      <c r="D11" s="19" t="inlineStr">
        <is>
          <t>Breathing assessment</t>
        </is>
      </c>
      <c r="E11" s="19" t="inlineStr">
        <is>
          <t>FAST ultrasound scan</t>
        </is>
      </c>
      <c r="F11" s="19" t="inlineStr">
        <is>
          <t>Cervical spine imaging</t>
        </is>
      </c>
      <c r="G11" s="19" t="inlineStr">
        <is>
          <t>Neurological status (GCS)</t>
        </is>
      </c>
      <c r="H11" s="20" t="inlineStr"/>
      <c r="I11" s="21">
        <f>IF(ISBLANK(H11), "", IF(H11='Answer Key &amp; Explanations'!C11, "✅ Correct", "❌ Incorrect (See Key)"))</f>
        <v/>
      </c>
    </row>
    <row r="12">
      <c r="A12" s="22" t="inlineStr">
        <is>
          <t>Q4</t>
        </is>
      </c>
      <c r="B12" s="23" t="inlineStr">
        <is>
          <t>A patient with suspected splenic rupture experiences referred pain to the left shoulder tip. What is the name of this classic clinical sign?</t>
        </is>
      </c>
      <c r="C12" s="23" t="inlineStr">
        <is>
          <t>Ballance's sign</t>
        </is>
      </c>
      <c r="D12" s="23" t="inlineStr">
        <is>
          <t>Kehr's sign</t>
        </is>
      </c>
      <c r="E12" s="23" t="inlineStr">
        <is>
          <t>Cullen's sign</t>
        </is>
      </c>
      <c r="F12" s="23" t="inlineStr">
        <is>
          <t>Grey Turner's sign</t>
        </is>
      </c>
      <c r="G12" s="23" t="inlineStr">
        <is>
          <t>McBurney's sign</t>
        </is>
      </c>
      <c r="H12" s="20" t="inlineStr"/>
      <c r="I12" s="21">
        <f>IF(ISBLANK(H12), "", IF(H12='Answer Key &amp; Explanations'!C12, "✅ Correct", "❌ Incorrect (See Key)"))</f>
        <v/>
      </c>
    </row>
    <row r="13">
      <c r="A13" s="18" t="inlineStr">
        <is>
          <t>Q5</t>
        </is>
      </c>
      <c r="B13" s="19" t="inlineStr">
        <is>
          <t>Physical examination of a patient with intraperitoneal splenic bleeding demonstrates fixed dullness to percussion in the left flank and shifting dullness in the right flank. What is this sign?</t>
        </is>
      </c>
      <c r="C13" s="19" t="inlineStr">
        <is>
          <t>Kehr's sign</t>
        </is>
      </c>
      <c r="D13" s="19" t="inlineStr">
        <is>
          <t>Ballance's sign</t>
        </is>
      </c>
      <c r="E13" s="19" t="inlineStr">
        <is>
          <t>Rovsing's sign</t>
        </is>
      </c>
      <c r="F13" s="19" t="inlineStr">
        <is>
          <t>Murphy's sign</t>
        </is>
      </c>
      <c r="G13" s="19" t="inlineStr">
        <is>
          <t>Courvoisier's sign</t>
        </is>
      </c>
      <c r="H13" s="20" t="inlineStr"/>
      <c r="I13" s="21">
        <f>IF(ISBLANK(H13), "", IF(H13='Answer Key &amp; Explanations'!C13, "✅ Correct", "❌ Incorrect (See Key)"))</f>
        <v/>
      </c>
    </row>
    <row r="14">
      <c r="A14" s="22" t="inlineStr">
        <is>
          <t>Q6</t>
        </is>
      </c>
      <c r="B14" s="23" t="inlineStr">
        <is>
          <t>What is the initial bedside imaging modality of choice to confirm intra-abdominal free fluid in a hemodynamically unstable blunt trauma patient?</t>
        </is>
      </c>
      <c r="C14" s="23" t="inlineStr">
        <is>
          <t>Contrast CT Abdomen</t>
        </is>
      </c>
      <c r="D14" s="23" t="inlineStr">
        <is>
          <t>FAST ultrasound scan</t>
        </is>
      </c>
      <c r="E14" s="23" t="inlineStr">
        <is>
          <t>Plain abdominal X-ray</t>
        </is>
      </c>
      <c r="F14" s="23" t="inlineStr">
        <is>
          <t>Diagnostic peritoneal lavage</t>
        </is>
      </c>
      <c r="G14" s="23" t="inlineStr">
        <is>
          <t>MRI Abdomen</t>
        </is>
      </c>
      <c r="H14" s="20" t="inlineStr"/>
      <c r="I14" s="21">
        <f>IF(ISBLANK(H14), "", IF(H14='Answer Key &amp; Explanations'!C14, "✅ Correct", "❌ Incorrect (See Key)"))</f>
        <v/>
      </c>
    </row>
    <row r="15">
      <c r="A15" s="18" t="inlineStr">
        <is>
          <t>Q7</t>
        </is>
      </c>
      <c r="B15" s="19" t="inlineStr">
        <is>
          <t>Following emergency splenectomy for trauma, which of the following vaccination regimens is essential to prevent Overwhelming Post-Splenectomy Infection (OPSI)?</t>
        </is>
      </c>
      <c r="C15" s="19" t="inlineStr">
        <is>
          <t>S. pneumoniae, N. meningitidis, H. influenzae type b</t>
        </is>
      </c>
      <c r="D15" s="19" t="inlineStr">
        <is>
          <t>Hepatitis B, Tetanus, Rotavirus</t>
        </is>
      </c>
      <c r="E15" s="19" t="inlineStr">
        <is>
          <t>MMR, Varicella, BCG</t>
        </is>
      </c>
      <c r="F15" s="19" t="inlineStr">
        <is>
          <t>HPV, Influenza, Polio</t>
        </is>
      </c>
      <c r="G15" s="19" t="inlineStr">
        <is>
          <t>DTP, Cholera, Typhoid</t>
        </is>
      </c>
      <c r="H15" s="20" t="inlineStr"/>
      <c r="I15" s="21">
        <f>IF(ISBLANK(H15), "", IF(H15='Answer Key &amp; Explanations'!C15, "✅ Correct", "❌ Incorrect (See Key)"))</f>
        <v/>
      </c>
    </row>
    <row r="16">
      <c r="A16" s="22" t="inlineStr">
        <is>
          <t>Q8</t>
        </is>
      </c>
      <c r="B16" s="23" t="inlineStr">
        <is>
          <t>A 24-year-old head injury patient experiences a 2-minute loss of consciousness, regains alertness ('lucid interval'), and then rapidly deteriorates with severe headache and a fixed dilated pupil. What is the diagnosis?</t>
        </is>
      </c>
      <c r="C16" s="23" t="inlineStr">
        <is>
          <t>Acute Subdural Hematoma</t>
        </is>
      </c>
      <c r="D16" s="23" t="inlineStr">
        <is>
          <t>Acute Epidural Hematoma</t>
        </is>
      </c>
      <c r="E16" s="23" t="inlineStr">
        <is>
          <t>Subarachnoid Hemorrhage</t>
        </is>
      </c>
      <c r="F16" s="23" t="inlineStr">
        <is>
          <t>Diffuse Axonal Injury</t>
        </is>
      </c>
      <c r="G16" s="23" t="inlineStr">
        <is>
          <t>Cerebral Contusion</t>
        </is>
      </c>
      <c r="H16" s="20" t="inlineStr"/>
      <c r="I16" s="21">
        <f>IF(ISBLANK(H16), "", IF(H16='Answer Key &amp; Explanations'!C16, "✅ Correct", "❌ Incorrect (See Key)"))</f>
        <v/>
      </c>
    </row>
    <row r="17">
      <c r="A17" s="18" t="inlineStr">
        <is>
          <t>Q9</t>
        </is>
      </c>
      <c r="B17" s="19" t="inlineStr">
        <is>
          <t>What is the classic non-contrast CT head finding in an acute Epidural (Extradural) Hematoma?</t>
        </is>
      </c>
      <c r="C17" s="19" t="inlineStr">
        <is>
          <t>Crescentic, hyperdense lesion crossing suture lines</t>
        </is>
      </c>
      <c r="D17" s="19" t="inlineStr">
        <is>
          <t>Biconvex (lenticular), hyperdense lesion extra-axial</t>
        </is>
      </c>
      <c r="E17" s="19" t="inlineStr">
        <is>
          <t>Star-shaped hyperdensity in basal cisterns</t>
        </is>
      </c>
      <c r="F17" s="19" t="inlineStr">
        <is>
          <t>Punctate petechial hemorrhages at gray-white junction</t>
        </is>
      </c>
      <c r="G17" s="19" t="inlineStr">
        <is>
          <t>Ring-enhancing hypodense mass</t>
        </is>
      </c>
      <c r="H17" s="20" t="inlineStr"/>
      <c r="I17" s="21">
        <f>IF(ISBLANK(H17), "", IF(H17='Answer Key &amp; Explanations'!C17, "✅ Correct", "❌ Incorrect (See Key)"))</f>
        <v/>
      </c>
    </row>
    <row r="18">
      <c r="A18" s="22" t="inlineStr">
        <is>
          <t>Q10</t>
        </is>
      </c>
      <c r="B18" s="23" t="inlineStr">
        <is>
          <t>What is the Cerebral Perfusion Pressure (CPP) formula?</t>
        </is>
      </c>
      <c r="C18" s="23" t="inlineStr">
        <is>
          <t>CPP = MAP + ICP</t>
        </is>
      </c>
      <c r="D18" s="23" t="inlineStr">
        <is>
          <t>CPP = MAP - ICP</t>
        </is>
      </c>
      <c r="E18" s="23" t="inlineStr">
        <is>
          <t>CPP = Systolic BP - ICP</t>
        </is>
      </c>
      <c r="F18" s="23" t="inlineStr">
        <is>
          <t>CPP = Diastolic BP + ICP</t>
        </is>
      </c>
      <c r="G18" s="23" t="inlineStr">
        <is>
          <t>CPP = ICP - MAP</t>
        </is>
      </c>
      <c r="H18" s="20" t="inlineStr"/>
      <c r="I18" s="21">
        <f>IF(ISBLANK(H18), "", IF(H18='Answer Key &amp; Explanations'!C18, "✅ Correct", "❌ Incorrect (See Key)"))</f>
        <v/>
      </c>
    </row>
    <row r="19">
      <c r="A19" s="18" t="inlineStr">
        <is>
          <t>Q11</t>
        </is>
      </c>
      <c r="B19" s="19" t="inlineStr">
        <is>
          <t>According to the Monro-Kellie Doctrine, an expanding intracranial mass lesion is initially compensated for by displacement of which component?</t>
        </is>
      </c>
      <c r="C19" s="19" t="inlineStr">
        <is>
          <t>Brain tissue parenchyma</t>
        </is>
      </c>
      <c r="D19" s="19" t="inlineStr">
        <is>
          <t>Venous blood and Cerebrospinal Fluid (CSF)</t>
        </is>
      </c>
      <c r="E19" s="19" t="inlineStr">
        <is>
          <t>Arterial blood volume</t>
        </is>
      </c>
      <c r="F19" s="19" t="inlineStr">
        <is>
          <t>Meningeal stromal tissue</t>
        </is>
      </c>
      <c r="G19" s="19" t="inlineStr">
        <is>
          <t>Scalp extracellular fluid</t>
        </is>
      </c>
      <c r="H19" s="20" t="inlineStr"/>
      <c r="I19" s="21">
        <f>IF(ISBLANK(H19), "", IF(H19='Answer Key &amp; Explanations'!C19, "✅ Correct", "❌ Incorrect (See Key)"))</f>
        <v/>
      </c>
    </row>
    <row r="20">
      <c r="A20" s="22" t="inlineStr">
        <is>
          <t>Q12</t>
        </is>
      </c>
      <c r="B20" s="23" t="inlineStr">
        <is>
          <t>Which of the following clinical signs is indicative of impending uncal (transtentorial) brain herniation and raised ICP?</t>
        </is>
      </c>
      <c r="C20" s="23" t="inlineStr">
        <is>
          <t>Battle's sign</t>
        </is>
      </c>
      <c r="D20" s="23" t="inlineStr">
        <is>
          <t>Raccoon eyes</t>
        </is>
      </c>
      <c r="E20" s="23" t="inlineStr">
        <is>
          <t>Anisocoria (ipsilateral fixed dilated pupil)</t>
        </is>
      </c>
      <c r="F20" s="23" t="inlineStr">
        <is>
          <t>CSF rhinorrhea</t>
        </is>
      </c>
      <c r="G20" s="23" t="inlineStr">
        <is>
          <t>Tympanic membrane hemotympanum</t>
        </is>
      </c>
      <c r="H20" s="20" t="inlineStr"/>
      <c r="I20" s="21">
        <f>IF(ISBLANK(H20), "", IF(H20='Answer Key &amp; Explanations'!C20, "✅ Correct", "❌ Incorrect (See Key)"))</f>
        <v/>
      </c>
    </row>
    <row r="21">
      <c r="A21" s="18" t="inlineStr">
        <is>
          <t>Q13</t>
        </is>
      </c>
      <c r="B21" s="19" t="inlineStr">
        <is>
          <t>Cushing's Triad is a late physiological response to severely elevated ICP. What are its three clinical components?</t>
        </is>
      </c>
      <c r="C21" s="19" t="inlineStr">
        <is>
          <t>Hypotension, Tachycardia, Tachypnea</t>
        </is>
      </c>
      <c r="D21" s="19" t="inlineStr">
        <is>
          <t>Hypertension (widening pulse pressure), Bradycardia, Irregular respiration</t>
        </is>
      </c>
      <c r="E21" s="19" t="inlineStr">
        <is>
          <t>Hypotension, Bradycardia, Bradypnea</t>
        </is>
      </c>
      <c r="F21" s="19" t="inlineStr">
        <is>
          <t>Hypertension, Tachycardia, Hyperventilation</t>
        </is>
      </c>
      <c r="G21" s="19" t="inlineStr">
        <is>
          <t>Hypothermia, Hypotension, Confusion</t>
        </is>
      </c>
      <c r="H21" s="20" t="inlineStr"/>
      <c r="I21" s="21">
        <f>IF(ISBLANK(H21), "", IF(H21='Answer Key &amp; Explanations'!C21, "✅ Correct", "❌ Incorrect (See Key)"))</f>
        <v/>
      </c>
    </row>
    <row r="22">
      <c r="A22" s="22" t="inlineStr">
        <is>
          <t>Q14</t>
        </is>
      </c>
      <c r="B22" s="23" t="inlineStr">
        <is>
          <t>Which of the following is an absolute indicator for an immediate CT Head scan within 1 hour according to NICE head injury guidelines?</t>
        </is>
      </c>
      <c r="C22" s="23" t="inlineStr">
        <is>
          <t>GCS &lt; 13 on initial assessment in ED</t>
        </is>
      </c>
      <c r="D22" s="23" t="inlineStr">
        <is>
          <t>Age 40 with a mild headache</t>
        </is>
      </c>
      <c r="E22" s="23" t="inlineStr">
        <is>
          <t>Single episode of vomiting in an adult</t>
        </is>
      </c>
      <c r="F22" s="23" t="inlineStr">
        <is>
          <t>Scalp laceration &lt; 2 cm</t>
        </is>
      </c>
      <c r="G22" s="23" t="inlineStr">
        <is>
          <t>Loss of consciousness for 10 seconds</t>
        </is>
      </c>
      <c r="H22" s="20" t="inlineStr"/>
      <c r="I22" s="21">
        <f>IF(ISBLANK(H22), "", IF(H22='Answer Key &amp; Explanations'!C22, "✅ Correct", "❌ Incorrect (See Key)"))</f>
        <v/>
      </c>
    </row>
    <row r="23">
      <c r="A23" s="18" t="inlineStr">
        <is>
          <t>Q15</t>
        </is>
      </c>
      <c r="B23" s="19" t="inlineStr">
        <is>
          <t>Calculate the total 24-hour fluid requirement using the Parkland Formula for a 70 kg patient with 40% TBSA full-thickness burns.</t>
        </is>
      </c>
      <c r="C23" s="19" t="inlineStr">
        <is>
          <t>5,600 mL</t>
        </is>
      </c>
      <c r="D23" s="19" t="inlineStr">
        <is>
          <t>8,000 mL</t>
        </is>
      </c>
      <c r="E23" s="19" t="inlineStr">
        <is>
          <t>11,200 mL</t>
        </is>
      </c>
      <c r="F23" s="19" t="inlineStr">
        <is>
          <t>14,000 mL</t>
        </is>
      </c>
      <c r="G23" s="19" t="inlineStr">
        <is>
          <t>16,000 mL</t>
        </is>
      </c>
      <c r="H23" s="20" t="inlineStr"/>
      <c r="I23" s="21">
        <f>IF(ISBLANK(H23), "", IF(H23='Answer Key &amp; Explanations'!C23, "✅ Correct", "❌ Incorrect (See Key)"))</f>
        <v/>
      </c>
    </row>
    <row r="24">
      <c r="A24" s="22" t="inlineStr">
        <is>
          <t>Q16</t>
        </is>
      </c>
      <c r="B24" s="23" t="inlineStr">
        <is>
          <t>In acute burn fluid resuscitation using the Parkland formula, what is the crystalloid fluid of choice?</t>
        </is>
      </c>
      <c r="C24" s="23" t="inlineStr">
        <is>
          <t>5% Dextrose in water</t>
        </is>
      </c>
      <c r="D24" s="23" t="inlineStr">
        <is>
          <t>Ringer's Lactate (Hartmann's solution)</t>
        </is>
      </c>
      <c r="E24" s="23" t="inlineStr">
        <is>
          <t>0.18% Saline with 4% Dextrose</t>
        </is>
      </c>
      <c r="F24" s="23" t="inlineStr">
        <is>
          <t>Hypertonic 3% Saline</t>
        </is>
      </c>
      <c r="G24" s="23" t="inlineStr">
        <is>
          <t>Fresh Frozen Plasma</t>
        </is>
      </c>
      <c r="H24" s="20" t="inlineStr"/>
      <c r="I24" s="21">
        <f>IF(ISBLANK(H24), "", IF(H24='Answer Key &amp; Explanations'!C24, "✅ Correct", "❌ Incorrect (See Key)"))</f>
        <v/>
      </c>
    </row>
    <row r="25">
      <c r="A25" s="18" t="inlineStr">
        <is>
          <t>Q17</t>
        </is>
      </c>
      <c r="B25" s="19" t="inlineStr">
        <is>
          <t>A patient rescued from a burning room presents with soot in the oropharynx, singed nasal hairs, hoarseness, and stridor. What is the immediate priority?</t>
        </is>
      </c>
      <c r="C25" s="19" t="inlineStr">
        <is>
          <t>Nebulized steroids</t>
        </is>
      </c>
      <c r="D25" s="19" t="inlineStr">
        <is>
          <t>Early elective endotracheal intubation</t>
        </is>
      </c>
      <c r="E25" s="19" t="inlineStr">
        <is>
          <t>Chest X-ray</t>
        </is>
      </c>
      <c r="F25" s="19" t="inlineStr">
        <is>
          <t>Escharotomy of neck</t>
        </is>
      </c>
      <c r="G25" s="19" t="inlineStr">
        <is>
          <t>Hyperbaric oxygen therapy</t>
        </is>
      </c>
      <c r="H25" s="20" t="inlineStr"/>
      <c r="I25" s="21">
        <f>IF(ISBLANK(H25), "", IF(H25='Answer Key &amp; Explanations'!C25, "✅ Correct", "❌ Incorrect (See Key)"))</f>
        <v/>
      </c>
    </row>
    <row r="26">
      <c r="A26" s="22" t="inlineStr">
        <is>
          <t>Q18</t>
        </is>
      </c>
      <c r="B26" s="23" t="inlineStr">
        <is>
          <t>Which of the following burn features mandates performing an emergency escharotomy?</t>
        </is>
      </c>
      <c r="C26" s="23" t="inlineStr">
        <is>
          <t>Superficial partial-thickness burn of 10% TBSA</t>
        </is>
      </c>
      <c r="D26" s="23" t="inlineStr">
        <is>
          <t>Circumferential full-thickness burn restricting ventilation or limb perfusion</t>
        </is>
      </c>
      <c r="E26" s="23" t="inlineStr">
        <is>
          <t>Chemical burn on the forearm</t>
        </is>
      </c>
      <c r="F26" s="23" t="inlineStr">
        <is>
          <t>Solar erythema over the back</t>
        </is>
      </c>
      <c r="G26" s="23" t="inlineStr">
        <is>
          <t>Non-circumferential scald on the leg</t>
        </is>
      </c>
      <c r="H26" s="20" t="inlineStr"/>
      <c r="I26" s="21">
        <f>IF(ISBLANK(H26), "", IF(H26='Answer Key &amp; Explanations'!C26, "✅ Correct", "❌ Incorrect (See Key)"))</f>
        <v/>
      </c>
    </row>
    <row r="27">
      <c r="A27" s="18" t="inlineStr">
        <is>
          <t>Q19</t>
        </is>
      </c>
      <c r="B27" s="19" t="inlineStr">
        <is>
          <t>In executing a chest escharotomy, where are the primary surgical incision lines made?</t>
        </is>
      </c>
      <c r="C27" s="19" t="inlineStr">
        <is>
          <t>Mid-sternal line only</t>
        </is>
      </c>
      <c r="D27" s="19" t="inlineStr">
        <is>
          <t>Bilateral anterior axillary lines connected by transverse clavicular and xiphisternal cuts</t>
        </is>
      </c>
      <c r="E27" s="19" t="inlineStr">
        <is>
          <t>Mid-clavicular lines down to the umbilicus</t>
        </is>
      </c>
      <c r="F27" s="19" t="inlineStr">
        <is>
          <t>Posterior scapular lines</t>
        </is>
      </c>
      <c r="G27" s="19" t="inlineStr">
        <is>
          <t>Circular incision around each nipple</t>
        </is>
      </c>
      <c r="H27" s="20" t="inlineStr"/>
      <c r="I27" s="21">
        <f>IF(ISBLANK(H27), "", IF(H27='Answer Key &amp; Explanations'!C27, "✅ Correct", "❌ Incorrect (See Key)"))</f>
        <v/>
      </c>
    </row>
    <row r="28">
      <c r="A28" s="22" t="inlineStr">
        <is>
          <t>Q20</t>
        </is>
      </c>
      <c r="B28" s="23" t="inlineStr">
        <is>
          <t>In lower limb escharotomy, how should the incision line pass relative to the medial malleolus at the ankle?</t>
        </is>
      </c>
      <c r="C28" s="23" t="inlineStr">
        <is>
          <t>Anterior to the medial malleolus</t>
        </is>
      </c>
      <c r="D28" s="23" t="inlineStr">
        <is>
          <t>Posterior to the medial malleolus</t>
        </is>
      </c>
      <c r="E28" s="23" t="inlineStr">
        <is>
          <t>Directly across the saphenous vein</t>
        </is>
      </c>
      <c r="F28" s="23" t="inlineStr">
        <is>
          <t>Across the Achilles tendon</t>
        </is>
      </c>
      <c r="G28" s="23" t="inlineStr">
        <is>
          <t>Mid-plantar surface</t>
        </is>
      </c>
      <c r="H28" s="20" t="inlineStr"/>
      <c r="I28" s="21">
        <f>IF(ISBLANK(H28), "", IF(H28='Answer Key &amp; Explanations'!C28, "✅ Correct", "❌ Incorrect (See Key)"))</f>
        <v/>
      </c>
    </row>
    <row r="29">
      <c r="A29" s="18" t="inlineStr">
        <is>
          <t>Q21</t>
        </is>
      </c>
      <c r="B29" s="19" t="inlineStr">
        <is>
          <t>What constitutes the 'Lethal Triad' in polytrauma that prompts Damage Control Surgery (DCS)?</t>
        </is>
      </c>
      <c r="C29" s="19" t="inlineStr">
        <is>
          <t>Hypertension, Hyperthermia, Alkalosis</t>
        </is>
      </c>
      <c r="D29" s="19" t="inlineStr">
        <is>
          <t>Hypothermia, Metabolic Acidosis, Coagulopathy</t>
        </is>
      </c>
      <c r="E29" s="19" t="inlineStr">
        <is>
          <t>Hypotension, Bradycardia, Bradypnea</t>
        </is>
      </c>
      <c r="F29" s="19" t="inlineStr">
        <is>
          <t>Hyperkalemia, Hypocalcemia, Anemia</t>
        </is>
      </c>
      <c r="G29" s="19" t="inlineStr">
        <is>
          <t>Hyperglycemia, Hypoxia, Jaundice</t>
        </is>
      </c>
      <c r="H29" s="20" t="inlineStr"/>
      <c r="I29" s="21">
        <f>IF(ISBLANK(H29), "", IF(H29='Answer Key &amp; Explanations'!C29, "✅ Correct", "❌ Incorrect (See Key)"))</f>
        <v/>
      </c>
    </row>
    <row r="30">
      <c r="A30" s="22" t="inlineStr">
        <is>
          <t>Q22</t>
        </is>
      </c>
      <c r="B30" s="23" t="inlineStr">
        <is>
          <t>What is the primary objective of Phase I in Damage Control Surgery (DCS)?</t>
        </is>
      </c>
      <c r="C30" s="23" t="inlineStr">
        <is>
          <t>Definitive bowel anastomosis and abdominal closure</t>
        </is>
      </c>
      <c r="D30" s="23" t="inlineStr">
        <is>
          <t>Abbreviated operation for immediate hemorrhage and contamination control</t>
        </is>
      </c>
      <c r="E30" s="23" t="inlineStr">
        <is>
          <t>ICU warming and invasive monitoring</t>
        </is>
      </c>
      <c r="F30" s="23" t="inlineStr">
        <is>
          <t>Planned formal re-operation at 48 hours</t>
        </is>
      </c>
      <c r="G30" s="23" t="inlineStr">
        <is>
          <t>Prosthetic mesh abdominal wall reconstruction</t>
        </is>
      </c>
      <c r="H30" s="20" t="inlineStr"/>
      <c r="I30" s="21">
        <f>IF(ISBLANK(H30), "", IF(H30='Answer Key &amp; Explanations'!C30, "✅ Correct", "❌ Incorrect (See Key)"))</f>
        <v/>
      </c>
    </row>
    <row r="31">
      <c r="A31" s="18" t="inlineStr">
        <is>
          <t>Q23</t>
        </is>
      </c>
      <c r="B31" s="19" t="inlineStr">
        <is>
          <t>A trauma patient develops sudden dyspnea, tracheal deviation to the left, absent breath sounds on the right, and hypotension (BP 75/40 mmHg). What is the immediate treatment?</t>
        </is>
      </c>
      <c r="C31" s="19" t="inlineStr">
        <is>
          <t>Chest CT scan</t>
        </is>
      </c>
      <c r="D31" s="19" t="inlineStr">
        <is>
          <t>Needle thoracocentesis / decompression on the right side</t>
        </is>
      </c>
      <c r="E31" s="19" t="inlineStr">
        <is>
          <t>Endotracheal intubation only</t>
        </is>
      </c>
      <c r="F31" s="19" t="inlineStr">
        <is>
          <t>Pericardiocentesis</t>
        </is>
      </c>
      <c r="G31" s="19" t="inlineStr">
        <is>
          <t>Emergency thoracotomy</t>
        </is>
      </c>
      <c r="H31" s="20" t="inlineStr"/>
      <c r="I31" s="21">
        <f>IF(ISBLANK(H31), "", IF(H31='Answer Key &amp; Explanations'!C31, "✅ Correct", "❌ Incorrect (See Key)"))</f>
        <v/>
      </c>
    </row>
    <row r="32">
      <c r="A32" s="22" t="inlineStr">
        <is>
          <t>Q24</t>
        </is>
      </c>
      <c r="B32" s="23" t="inlineStr">
        <is>
          <t>What classic triad of physical signs characterizes Cardiac Tamponade in penetrating chest trauma (Beck's Triad)?</t>
        </is>
      </c>
      <c r="C32" s="23" t="inlineStr">
        <is>
          <t>Hypertension, Bradycardia, Irregular breathing</t>
        </is>
      </c>
      <c r="D32" s="23" t="inlineStr">
        <is>
          <t>Hypotension, Muffled heart sounds, Elevated JVP</t>
        </is>
      </c>
      <c r="E32" s="23" t="inlineStr">
        <is>
          <t>Tachycardia, Tracheal deviation, Absent breath sounds</t>
        </is>
      </c>
      <c r="F32" s="23" t="inlineStr">
        <is>
          <t>Fever, RUQ pain, Jaundice</t>
        </is>
      </c>
      <c r="G32" s="23" t="inlineStr">
        <is>
          <t>Paresis, Pallor, Pulselessness</t>
        </is>
      </c>
      <c r="H32" s="20" t="inlineStr"/>
      <c r="I32" s="21">
        <f>IF(ISBLANK(H32), "", IF(H32='Answer Key &amp; Explanations'!C32, "✅ Correct", "❌ Incorrect (See Key)"))</f>
        <v/>
      </c>
    </row>
    <row r="33">
      <c r="A33" s="18" t="inlineStr">
        <is>
          <t>Q25</t>
        </is>
      </c>
      <c r="B33" s="19" t="inlineStr">
        <is>
          <t>Which injury is characterized by paradoxical movement of a segment of the chest wall during respiration?</t>
        </is>
      </c>
      <c r="C33" s="19" t="inlineStr">
        <is>
          <t>Simple rib fracture</t>
        </is>
      </c>
      <c r="D33" s="19" t="inlineStr">
        <is>
          <t>Flail chest</t>
        </is>
      </c>
      <c r="E33" s="19" t="inlineStr">
        <is>
          <t>Sucking chest wound</t>
        </is>
      </c>
      <c r="F33" s="19" t="inlineStr">
        <is>
          <t>Pulmonary contusion alone</t>
        </is>
      </c>
      <c r="G33" s="19" t="inlineStr">
        <is>
          <t>Sternal dislocation</t>
        </is>
      </c>
      <c r="H33" s="20" t="inlineStr"/>
      <c r="I33" s="21">
        <f>IF(ISBLANK(H33), "", IF(H33='Answer Key &amp; Explanations'!C33, "✅ Correct", "❌ Incorrect (See Key)"))</f>
        <v/>
      </c>
    </row>
    <row r="34">
      <c r="A34" s="22" t="inlineStr">
        <is>
          <t>Q26</t>
        </is>
      </c>
      <c r="B34" s="23" t="inlineStr">
        <is>
          <t>What is the primary cause of respiratory distress and hypoxemia in a patient with a Flail Chest?</t>
        </is>
      </c>
      <c r="C34" s="23" t="inlineStr">
        <is>
          <t>Severe pain preventing chest wall motion</t>
        </is>
      </c>
      <c r="D34" s="23" t="inlineStr">
        <is>
          <t>Underlying pulmonary contusion</t>
        </is>
      </c>
      <c r="E34" s="23" t="inlineStr">
        <is>
          <t>Tracheal transection</t>
        </is>
      </c>
      <c r="F34" s="23" t="inlineStr">
        <is>
          <t>Diaphragmatic rupture</t>
        </is>
      </c>
      <c r="G34" s="23" t="inlineStr">
        <is>
          <t>Esophageal perforation</t>
        </is>
      </c>
      <c r="H34" s="20" t="inlineStr"/>
      <c r="I34" s="21">
        <f>IF(ISBLANK(H34), "", IF(H34='Answer Key &amp; Explanations'!C34, "✅ Correct", "❌ Incorrect (See Key)"))</f>
        <v/>
      </c>
    </row>
    <row r="35">
      <c r="A35" s="18" t="inlineStr">
        <is>
          <t>Q27</t>
        </is>
      </c>
      <c r="B35" s="19" t="inlineStr">
        <is>
          <t>A patient involved in a motor vehicle collision arrives with Glasgow Coma Scale (GCS) components: Eyes open to pain (E2), Incomprehensible sounds (V2), Flexion withdrawal to pain (M4). What is his total GCS score?</t>
        </is>
      </c>
      <c r="C35" s="19" t="inlineStr">
        <is>
          <t>GCS 6</t>
        </is>
      </c>
      <c r="D35" s="19" t="inlineStr">
        <is>
          <t>GCS 8</t>
        </is>
      </c>
      <c r="E35" s="19" t="inlineStr">
        <is>
          <t>GCS 10</t>
        </is>
      </c>
      <c r="F35" s="19" t="inlineStr">
        <is>
          <t>GCS 12</t>
        </is>
      </c>
      <c r="G35" s="19" t="inlineStr">
        <is>
          <t>GCS 14</t>
        </is>
      </c>
      <c r="H35" s="20" t="inlineStr"/>
      <c r="I35" s="21">
        <f>IF(ISBLANK(H35), "", IF(H35='Answer Key &amp; Explanations'!C35, "✅ Correct", "❌ Incorrect (See Key)"))</f>
        <v/>
      </c>
    </row>
    <row r="36">
      <c r="A36" s="22" t="inlineStr">
        <is>
          <t>Q28</t>
        </is>
      </c>
      <c r="B36" s="23" t="inlineStr">
        <is>
          <t>What is the primary goal of hyperventilation therapy in managing acutely elevated Intracranial Pressure (ICP)?</t>
        </is>
      </c>
      <c r="C36" s="23" t="inlineStr">
        <is>
          <t>Induce cerebral arterial vasodilation</t>
        </is>
      </c>
      <c r="D36" s="23" t="inlineStr">
        <is>
          <t>Induce hypocapnia (PaCO2 30-35 mmHg) causing cerebral vasoconstriction</t>
        </is>
      </c>
      <c r="E36" s="23" t="inlineStr">
        <is>
          <t>Increase blood pressure</t>
        </is>
      </c>
      <c r="F36" s="23" t="inlineStr">
        <is>
          <t>Promote CSF production</t>
        </is>
      </c>
      <c r="G36" s="23" t="inlineStr">
        <is>
          <t>Inhibit brain metabolism</t>
        </is>
      </c>
      <c r="H36" s="20" t="inlineStr"/>
      <c r="I36" s="21">
        <f>IF(ISBLANK(H36), "", IF(H36='Answer Key &amp; Explanations'!C36, "✅ Correct", "❌ Incorrect (See Key)"))</f>
        <v/>
      </c>
    </row>
    <row r="37">
      <c r="A37" s="18" t="inlineStr">
        <is>
          <t>Q29</t>
        </is>
      </c>
      <c r="B37" s="19" t="inlineStr">
        <is>
          <t>A 30-year-old construction worker falls 5 meters and sustains a base of skull fracture. Which of the following is a pathognomonic physical sign of a basilar skull fracture?</t>
        </is>
      </c>
      <c r="C37" s="19" t="inlineStr">
        <is>
          <t>Unequal pupils (anisocoria)</t>
        </is>
      </c>
      <c r="D37" s="19" t="inlineStr">
        <is>
          <t>Ecchymosis over the mastoid process (Battle's sign)</t>
        </is>
      </c>
      <c r="E37" s="19" t="inlineStr">
        <is>
          <t>Subcutaneous emphysema over the neck</t>
        </is>
      </c>
      <c r="F37" s="19" t="inlineStr">
        <is>
          <t>Ptosis and miosis</t>
        </is>
      </c>
      <c r="G37" s="19" t="inlineStr">
        <is>
          <t>Papilledema</t>
        </is>
      </c>
      <c r="H37" s="20" t="inlineStr"/>
      <c r="I37" s="21">
        <f>IF(ISBLANK(H37), "", IF(H37='Answer Key &amp; Explanations'!C37, "✅ Correct", "❌ Incorrect (See Key)"))</f>
        <v/>
      </c>
    </row>
    <row r="38">
      <c r="A38" s="22" t="inlineStr">
        <is>
          <t>Q30</t>
        </is>
      </c>
      <c r="B38" s="23" t="inlineStr">
        <is>
          <t>Which burn depth classification is characterized by blister formation, extreme pain, wet pink surface, and blanching with pressure?</t>
        </is>
      </c>
      <c r="C38" s="23" t="inlineStr">
        <is>
          <t>Erythema (1st degree)</t>
        </is>
      </c>
      <c r="D38" s="23" t="inlineStr">
        <is>
          <t>Superficial partial-thickness (2nd degree)</t>
        </is>
      </c>
      <c r="E38" s="23" t="inlineStr">
        <is>
          <t>Deep partial-thickness</t>
        </is>
      </c>
      <c r="F38" s="23" t="inlineStr">
        <is>
          <t>Full-thickness (3rd degree)</t>
        </is>
      </c>
      <c r="G38" s="23" t="inlineStr">
        <is>
          <t>Fourth degree</t>
        </is>
      </c>
      <c r="H38" s="20" t="inlineStr"/>
      <c r="I38" s="21">
        <f>IF(ISBLANK(H38), "", IF(H38='Answer Key &amp; Explanations'!C38, "✅ Correct", "❌ Incorrect (See Key)"))</f>
        <v/>
      </c>
    </row>
  </sheetData>
  <mergeCells count="2">
    <mergeCell ref="A1:I2"/>
    <mergeCell ref="A3:D3"/>
  </mergeCells>
  <dataValidations count="1">
    <dataValidation sqref="H9:H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
  <sheetViews>
    <sheetView showGridLines="1" workbookViewId="0">
      <selection activeCell="A1" sqref="A1"/>
    </sheetView>
  </sheetViews>
  <sheetFormatPr baseColWidth="8" defaultRowHeight="15"/>
  <cols>
    <col width="8" customWidth="1" min="1" max="1"/>
    <col width="35" customWidth="1" min="2" max="2"/>
    <col width="15" customWidth="1" min="3" max="3"/>
    <col width="75" customWidth="1" min="4" max="4"/>
  </cols>
  <sheetData>
    <row r="1">
      <c r="A1" s="1" t="inlineStr">
        <is>
          <t>MODULE 2: TRAUMA, BURNS, HEAD INJURY &amp; EMERGENCY SURGERY - INSTRUCTOR ANSWER KEY &amp; RATIONALES</t>
        </is>
      </c>
    </row>
    <row r="2"/>
    <row r="8">
      <c r="A8" s="17" t="inlineStr">
        <is>
          <t>Q#</t>
        </is>
      </c>
      <c r="B8" s="17" t="inlineStr">
        <is>
          <t>Question Stem Summary</t>
        </is>
      </c>
      <c r="C8" s="17" t="inlineStr">
        <is>
          <t>Correct Key</t>
        </is>
      </c>
      <c r="D8" s="17" t="inlineStr">
        <is>
          <t>Comprehensive Clinical Explanation &amp; Source Grounding</t>
        </is>
      </c>
    </row>
    <row r="9">
      <c r="A9" s="18" t="inlineStr">
        <is>
          <t>Q1</t>
        </is>
      </c>
      <c r="B9" s="19" t="inlineStr">
        <is>
          <t>A 17-year-old male is admitted 1 hour after being kicked in the left hypochondrium by a horse. Examination reveals pallor, severe left upper quadrant pain, PR 110/min, and BP 80/40 mmHg. What is the provisional diagnosis?</t>
        </is>
      </c>
      <c r="C9" s="15" t="inlineStr">
        <is>
          <t>B</t>
        </is>
      </c>
      <c r="D9" s="19" t="inlineStr">
        <is>
          <t>Trauma to the lower left chest/left hypochondrium with hypovolemic shock (PR &gt; 110, BP 80/40) and localized tenderness is classic for acute splenic rupture.</t>
        </is>
      </c>
    </row>
    <row r="10">
      <c r="A10" s="22" t="inlineStr">
        <is>
          <t>Q2</t>
        </is>
      </c>
      <c r="B10" s="23" t="inlineStr">
        <is>
          <t>In the ATLS Primary Survey of a trauma patient, which of the following is the correct priority sequence?</t>
        </is>
      </c>
      <c r="C10" s="15" t="inlineStr">
        <is>
          <t>A</t>
        </is>
      </c>
      <c r="D10" s="23" t="inlineStr">
        <is>
          <t>The ATLS primary survey follows ABCDE: Airway with C-spine protection, Breathing and ventilation, Circulation with hemorrhage control, Disability (neurologic evaluation), and Exposure/environment.</t>
        </is>
      </c>
    </row>
    <row r="11">
      <c r="A11" s="18" t="inlineStr">
        <is>
          <t>Q3</t>
        </is>
      </c>
      <c r="B11" s="19" t="inlineStr">
        <is>
          <t>A 40-year-old butcher is admitted after accidentally stabbing himself in the thigh. On initial ATLS primary survey, which of the following is NOT routinely prioritized in isolated penetrating trauma without neck injury?</t>
        </is>
      </c>
      <c r="C11" s="15" t="inlineStr">
        <is>
          <t>D</t>
        </is>
      </c>
      <c r="D11" s="19" t="inlineStr">
        <is>
          <t>In isolated penetrating trauma outside the neck without neurological deficits, routine cervical spine immobilization and imaging are not prioritized over ABCDE resuscitation.</t>
        </is>
      </c>
    </row>
    <row r="12">
      <c r="A12" s="22" t="inlineStr">
        <is>
          <t>Q4</t>
        </is>
      </c>
      <c r="B12" s="23" t="inlineStr">
        <is>
          <t>A patient with suspected splenic rupture experiences referred pain to the left shoulder tip. What is the name of this classic clinical sign?</t>
        </is>
      </c>
      <c r="C12" s="15" t="inlineStr">
        <is>
          <t>B</t>
        </is>
      </c>
      <c r="D12" s="23" t="inlineStr">
        <is>
          <t>Kehr's sign is referred pain to the left shoulder tip due to subdiaphragmatic blood irritating the phrenic nerve (C3-C5 sensory innervation).</t>
        </is>
      </c>
    </row>
    <row r="13">
      <c r="A13" s="18" t="inlineStr">
        <is>
          <t>Q5</t>
        </is>
      </c>
      <c r="B13" s="19" t="inlineStr">
        <is>
          <t>Physical examination of a patient with intraperitoneal splenic bleeding demonstrates fixed dullness to percussion in the left flank and shifting dullness in the right flank. What is this sign?</t>
        </is>
      </c>
      <c r="C13" s="15" t="inlineStr">
        <is>
          <t>B</t>
        </is>
      </c>
      <c r="D13" s="19" t="inlineStr">
        <is>
          <t>Ballance's sign is characterized by fixed dullness in the left flank (due to coagulated blood around the spleen) and shifting dullness in the right flank (fluid blood).</t>
        </is>
      </c>
    </row>
    <row r="14">
      <c r="A14" s="22" t="inlineStr">
        <is>
          <t>Q6</t>
        </is>
      </c>
      <c r="B14" s="23" t="inlineStr">
        <is>
          <t>What is the initial bedside imaging modality of choice to confirm intra-abdominal free fluid in a hemodynamically unstable blunt trauma patient?</t>
        </is>
      </c>
      <c r="C14" s="15" t="inlineStr">
        <is>
          <t>B</t>
        </is>
      </c>
      <c r="D14" s="23" t="inlineStr">
        <is>
          <t>FAST (Focused Assessment with Sonography for Trauma) is rapid, non-invasive, repeatable, and can be performed at the bedside during resuscitation in unstable trauma patients.</t>
        </is>
      </c>
    </row>
    <row r="15">
      <c r="A15" s="18" t="inlineStr">
        <is>
          <t>Q7</t>
        </is>
      </c>
      <c r="B15" s="19" t="inlineStr">
        <is>
          <t>Following emergency splenectomy for trauma, which of the following vaccination regimens is essential to prevent Overwhelming Post-Splenectomy Infection (OPSI)?</t>
        </is>
      </c>
      <c r="C15" s="15" t="inlineStr">
        <is>
          <t>A</t>
        </is>
      </c>
      <c r="D15" s="19" t="inlineStr">
        <is>
          <t>Post-splenectomy patients are vulnerable to encapsulated bacteria and must receive vaccines against S. pneumoniae, N. meningitidis, and H. influenzae type b (given ~14 days post-op).</t>
        </is>
      </c>
    </row>
    <row r="16">
      <c r="A16" s="22" t="inlineStr">
        <is>
          <t>Q8</t>
        </is>
      </c>
      <c r="B16" s="23" t="inlineStr">
        <is>
          <t>A 24-year-old head injury patient experiences a 2-minute loss of consciousness, regains alertness ('lucid interval'), and then rapidly deteriorates with severe headache and a fixed dilated pupil. What is the diagnosis?</t>
        </is>
      </c>
      <c r="C16" s="15" t="inlineStr">
        <is>
          <t>B</t>
        </is>
      </c>
      <c r="D16" s="23" t="inlineStr">
        <is>
          <t>An epidural hematoma (EDH) typically arises from middle meningeal artery laceration and classically features a lucid interval followed by rapid expansion, raised ICP, and uncal herniation.</t>
        </is>
      </c>
    </row>
    <row r="17">
      <c r="A17" s="18" t="inlineStr">
        <is>
          <t>Q9</t>
        </is>
      </c>
      <c r="B17" s="19" t="inlineStr">
        <is>
          <t>What is the classic non-contrast CT head finding in an acute Epidural (Extradural) Hematoma?</t>
        </is>
      </c>
      <c r="C17" s="15" t="inlineStr">
        <is>
          <t>B</t>
        </is>
      </c>
      <c r="D17" s="19" t="inlineStr">
        <is>
          <t>EDH appears as a biconvex (lenticular) hyperdense extra-axial mass between the skull and dura that does not cross cranial suture lines.</t>
        </is>
      </c>
    </row>
    <row r="18">
      <c r="A18" s="22" t="inlineStr">
        <is>
          <t>Q10</t>
        </is>
      </c>
      <c r="B18" s="23" t="inlineStr">
        <is>
          <t>What is the Cerebral Perfusion Pressure (CPP) formula?</t>
        </is>
      </c>
      <c r="C18" s="15" t="inlineStr">
        <is>
          <t>B</t>
        </is>
      </c>
      <c r="D18" s="23" t="inlineStr">
        <is>
          <t>Cerebral Perfusion Pressure (CPP) equals Mean Arterial Pressure (MAP) minus Intracranial Pressure (ICP). Target CPP is typically 60-70 mmHg.</t>
        </is>
      </c>
    </row>
    <row r="19">
      <c r="A19" s="18" t="inlineStr">
        <is>
          <t>Q11</t>
        </is>
      </c>
      <c r="B19" s="19" t="inlineStr">
        <is>
          <t>According to the Monro-Kellie Doctrine, an expanding intracranial mass lesion is initially compensated for by displacement of which component?</t>
        </is>
      </c>
      <c r="C19" s="15" t="inlineStr">
        <is>
          <t>B</t>
        </is>
      </c>
      <c r="D19" s="19" t="inlineStr">
        <is>
          <t>The intracranial vault has a fixed volume. Early volume compensation occurs by shifting CSF into the spinal sac and squeezing venous blood out of dural sinuses.</t>
        </is>
      </c>
    </row>
    <row r="20">
      <c r="A20" s="22" t="inlineStr">
        <is>
          <t>Q12</t>
        </is>
      </c>
      <c r="B20" s="23" t="inlineStr">
        <is>
          <t>Which of the following clinical signs is indicative of impending uncal (transtentorial) brain herniation and raised ICP?</t>
        </is>
      </c>
      <c r="C20" s="15" t="inlineStr">
        <is>
          <t>C</t>
        </is>
      </c>
      <c r="D20" s="23" t="inlineStr">
        <is>
          <t>Uncal herniation compresses the ipsilateral 3rd cranial (oculomotor) nerve, causing a fixed, dilated pupil (anisocoria), followed by contralateral hemiparesis.</t>
        </is>
      </c>
    </row>
    <row r="21">
      <c r="A21" s="18" t="inlineStr">
        <is>
          <t>Q13</t>
        </is>
      </c>
      <c r="B21" s="19" t="inlineStr">
        <is>
          <t>Cushing's Triad is a late physiological response to severely elevated ICP. What are its three clinical components?</t>
        </is>
      </c>
      <c r="C21" s="15" t="inlineStr">
        <is>
          <t>B</t>
        </is>
      </c>
      <c r="D21" s="19" t="inlineStr">
        <is>
          <t>Cushing's Triad comprises hypertension with widening pulse pressure, reflex bradycardia, and irregular/ataxic respiration due to brainstem ischemia.</t>
        </is>
      </c>
    </row>
    <row r="22">
      <c r="A22" s="22" t="inlineStr">
        <is>
          <t>Q14</t>
        </is>
      </c>
      <c r="B22" s="23" t="inlineStr">
        <is>
          <t>Which of the following is an absolute indicator for an immediate CT Head scan within 1 hour according to NICE head injury guidelines?</t>
        </is>
      </c>
      <c r="C22" s="15" t="inlineStr">
        <is>
          <t>A</t>
        </is>
      </c>
      <c r="D22" s="23" t="inlineStr">
        <is>
          <t>NICE guidelines mandate an immediate CT head (within 1 hour) for GCS &lt; 13 on initial assessment, GCS &lt; 15 at 2 hours post-injury, focal neuro deficit, or suspected open/depressed skull fracture.</t>
        </is>
      </c>
    </row>
    <row r="23">
      <c r="A23" s="18" t="inlineStr">
        <is>
          <t>Q15</t>
        </is>
      </c>
      <c r="B23" s="19" t="inlineStr">
        <is>
          <t>Calculate the total 24-hour fluid requirement using the Parkland Formula for a 70 kg patient with 40% TBSA full-thickness burns.</t>
        </is>
      </c>
      <c r="C23" s="15" t="inlineStr">
        <is>
          <t>C</t>
        </is>
      </c>
      <c r="D23" s="19" t="inlineStr">
        <is>
          <t>Parkland Formula: 4 mL x weight (kg) x %TBSA = 4 x 70 x 40 = 11,200 mL of Ringer's Lactate (half given in first 8 hrs, half over next 16 hrs).</t>
        </is>
      </c>
    </row>
    <row r="24">
      <c r="A24" s="22" t="inlineStr">
        <is>
          <t>Q16</t>
        </is>
      </c>
      <c r="B24" s="23" t="inlineStr">
        <is>
          <t>In acute burn fluid resuscitation using the Parkland formula, what is the crystalloid fluid of choice?</t>
        </is>
      </c>
      <c r="C24" s="15" t="inlineStr">
        <is>
          <t>B</t>
        </is>
      </c>
      <c r="D24" s="23" t="inlineStr">
        <is>
          <t>Ringer's Lactate (Hartmann's solution) is the standard resuscitation crystalloid because its electrolyte composition closely mimics plasma without causing hyperchloremic metabolic acidosis.</t>
        </is>
      </c>
    </row>
    <row r="25">
      <c r="A25" s="18" t="inlineStr">
        <is>
          <t>Q17</t>
        </is>
      </c>
      <c r="B25" s="19" t="inlineStr">
        <is>
          <t>A patient rescued from a burning room presents with soot in the oropharynx, singed nasal hairs, hoarseness, and stridor. What is the immediate priority?</t>
        </is>
      </c>
      <c r="C25" s="15" t="inlineStr">
        <is>
          <t>B</t>
        </is>
      </c>
      <c r="D25" s="19" t="inlineStr">
        <is>
          <t>Severe inhalational burn injury causes rapid upper airway mucosal swelling. Early elective intubation secures the airway before complete glottic occlusion occurs.</t>
        </is>
      </c>
    </row>
    <row r="26">
      <c r="A26" s="22" t="inlineStr">
        <is>
          <t>Q18</t>
        </is>
      </c>
      <c r="B26" s="23" t="inlineStr">
        <is>
          <t>Which of the following burn features mandates performing an emergency escharotomy?</t>
        </is>
      </c>
      <c r="C26" s="15" t="inlineStr">
        <is>
          <t>B</t>
        </is>
      </c>
      <c r="D26" s="23" t="inlineStr">
        <is>
          <t>Escharotomy is indicated for circumferential full-thickness burns of the chest or extremities where rigid, unyielding dead skin compresses tissues, threatening chest wall expansion or limb blood supply.</t>
        </is>
      </c>
    </row>
    <row r="27">
      <c r="A27" s="18" t="inlineStr">
        <is>
          <t>Q19</t>
        </is>
      </c>
      <c r="B27" s="19" t="inlineStr">
        <is>
          <t>In executing a chest escharotomy, where are the primary surgical incision lines made?</t>
        </is>
      </c>
      <c r="C27" s="15" t="inlineStr">
        <is>
          <t>B</t>
        </is>
      </c>
      <c r="D27" s="19" t="inlineStr">
        <is>
          <t>Chest escharotomy involves vertical bilateral cuts along the anterior axillary lines connected transversely across the upper chest (below clavicles) and lower chest (at xiphisternum).</t>
        </is>
      </c>
    </row>
    <row r="28">
      <c r="A28" s="22" t="inlineStr">
        <is>
          <t>Q20</t>
        </is>
      </c>
      <c r="B28" s="23" t="inlineStr">
        <is>
          <t>In lower limb escharotomy, how should the incision line pass relative to the medial malleolus at the ankle?</t>
        </is>
      </c>
      <c r="C28" s="15" t="inlineStr">
        <is>
          <t>B</t>
        </is>
      </c>
      <c r="D28" s="23" t="inlineStr">
        <is>
          <t>Medially at the ankle, the escharotomy incision passes posterior to the medial malleolus to avoid damaging the long saphenous vein.</t>
        </is>
      </c>
    </row>
    <row r="29">
      <c r="A29" s="18" t="inlineStr">
        <is>
          <t>Q21</t>
        </is>
      </c>
      <c r="B29" s="19" t="inlineStr">
        <is>
          <t>What constitutes the 'Lethal Triad' in polytrauma that prompts Damage Control Surgery (DCS)?</t>
        </is>
      </c>
      <c r="C29" s="15" t="inlineStr">
        <is>
          <t>B</t>
        </is>
      </c>
      <c r="D29" s="19" t="inlineStr">
        <is>
          <t>The Lethal Triad consists of Hypothermia (&lt; 35°C), Metabolic Acidosis (pH &lt; 7.20), and Coagulopathy. Recognizing this triad signals the need for abbreviated Damage Control Surgery.</t>
        </is>
      </c>
    </row>
    <row r="30">
      <c r="A30" s="22" t="inlineStr">
        <is>
          <t>Q22</t>
        </is>
      </c>
      <c r="B30" s="23" t="inlineStr">
        <is>
          <t>What is the primary objective of Phase I in Damage Control Surgery (DCS)?</t>
        </is>
      </c>
      <c r="C30" s="15" t="inlineStr">
        <is>
          <t>B</t>
        </is>
      </c>
      <c r="D30" s="23" t="inlineStr">
        <is>
          <t>Phase I of DCS takes place in the OR and focuses rapidly on stopping major bleeding (packing/ligation) and controlling enteric contamination, followed by temporary abdominal closure.</t>
        </is>
      </c>
    </row>
    <row r="31">
      <c r="A31" s="18" t="inlineStr">
        <is>
          <t>Q23</t>
        </is>
      </c>
      <c r="B31" s="19" t="inlineStr">
        <is>
          <t>A trauma patient develops sudden dyspnea, tracheal deviation to the left, absent breath sounds on the right, and hypotension (BP 75/40 mmHg). What is the immediate treatment?</t>
        </is>
      </c>
      <c r="C31" s="15" t="inlineStr">
        <is>
          <t>B</t>
        </is>
      </c>
      <c r="D31" s="19" t="inlineStr">
        <is>
          <t>Tension pneumothorax is a clinical diagnosis requiring immediate needle decompression (2nd ICS MCL or 5th ICS AAL) before chest tube insertion.</t>
        </is>
      </c>
    </row>
    <row r="32">
      <c r="A32" s="22" t="inlineStr">
        <is>
          <t>Q24</t>
        </is>
      </c>
      <c r="B32" s="23" t="inlineStr">
        <is>
          <t>What classic triad of physical signs characterizes Cardiac Tamponade in penetrating chest trauma (Beck's Triad)?</t>
        </is>
      </c>
      <c r="C32" s="15" t="inlineStr">
        <is>
          <t>B</t>
        </is>
      </c>
      <c r="D32" s="23" t="inlineStr">
        <is>
          <t>Beck's Triad consists of Hypotension, Distended neck veins (elevated JVP), and Muffled (distant) heart sounds.</t>
        </is>
      </c>
    </row>
    <row r="33">
      <c r="A33" s="18" t="inlineStr">
        <is>
          <t>Q25</t>
        </is>
      </c>
      <c r="B33" s="19" t="inlineStr">
        <is>
          <t>Which injury is characterized by paradoxical movement of a segment of the chest wall during respiration?</t>
        </is>
      </c>
      <c r="C33" s="15" t="inlineStr">
        <is>
          <t>B</t>
        </is>
      </c>
      <c r="D33" s="19" t="inlineStr">
        <is>
          <t>Flail chest occurs when 3 or more consecutive ribs are fractured in 2 or more places, creating a free-floating segment that moves paradoxically (inward during inspiration, outward during expiration).</t>
        </is>
      </c>
    </row>
    <row r="34">
      <c r="A34" s="22" t="inlineStr">
        <is>
          <t>Q26</t>
        </is>
      </c>
      <c r="B34" s="23" t="inlineStr">
        <is>
          <t>What is the primary cause of respiratory distress and hypoxemia in a patient with a Flail Chest?</t>
        </is>
      </c>
      <c r="C34" s="15" t="inlineStr">
        <is>
          <t>B</t>
        </is>
      </c>
      <c r="D34" s="23" t="inlineStr">
        <is>
          <t>While pain impairs ventilation, the main underlying cause of respiratory failure and hypoxia in flail chest is the associated parenchymal pulmonary contusion.</t>
        </is>
      </c>
    </row>
    <row r="35">
      <c r="A35" s="18" t="inlineStr">
        <is>
          <t>Q27</t>
        </is>
      </c>
      <c r="B35" s="19" t="inlineStr">
        <is>
          <t>A patient involved in a motor vehicle collision arrives with Glasgow Coma Scale (GCS) components: Eyes open to pain (E2), Incomprehensible sounds (V2), Flexion withdrawal to pain (M4). What is his total GCS score?</t>
        </is>
      </c>
      <c r="C35" s="15" t="inlineStr">
        <is>
          <t>B</t>
        </is>
      </c>
      <c r="D35" s="19" t="inlineStr">
        <is>
          <t>GCS = E2 + V2 + M4 = 8. A GCS of 8 or less indicates severe head injury and generally mandates endotracheal intubation to protect the airway.</t>
        </is>
      </c>
    </row>
    <row r="36">
      <c r="A36" s="22" t="inlineStr">
        <is>
          <t>Q28</t>
        </is>
      </c>
      <c r="B36" s="23" t="inlineStr">
        <is>
          <t>What is the primary goal of hyperventilation therapy in managing acutely elevated Intracranial Pressure (ICP)?</t>
        </is>
      </c>
      <c r="C36" s="15" t="inlineStr">
        <is>
          <t>B</t>
        </is>
      </c>
      <c r="D36" s="23" t="inlineStr">
        <is>
          <t>Hyperventilation lowers PaCO2, leading to respiratory alkalosis and cerebral vasoconstriction, which rapidly reduces cerebral blood volume and ICP.</t>
        </is>
      </c>
    </row>
    <row r="37">
      <c r="A37" s="18" t="inlineStr">
        <is>
          <t>Q29</t>
        </is>
      </c>
      <c r="B37" s="19" t="inlineStr">
        <is>
          <t>A 30-year-old construction worker falls 5 meters and sustains a base of skull fracture. Which of the following is a pathognomonic physical sign of a basilar skull fracture?</t>
        </is>
      </c>
      <c r="C37" s="15" t="inlineStr">
        <is>
          <t>B</t>
        </is>
      </c>
      <c r="D37" s="19" t="inlineStr">
        <is>
          <t>Battle's sign (mastoid ecchymosis), Raccoon eyes (periorbital ecchymosis), CSF rhinorrhea, and CSF otorrhea are physical signs of a basal skull fracture. Unequal pupils indicate ICP/herniation.</t>
        </is>
      </c>
    </row>
    <row r="38">
      <c r="A38" s="22" t="inlineStr">
        <is>
          <t>Q30</t>
        </is>
      </c>
      <c r="B38" s="23" t="inlineStr">
        <is>
          <t>Which burn depth classification is characterized by blister formation, extreme pain, wet pink surface, and blanching with pressure?</t>
        </is>
      </c>
      <c r="C38" s="15" t="inlineStr">
        <is>
          <t>B</t>
        </is>
      </c>
      <c r="D38" s="23" t="inlineStr">
        <is>
          <t>Superficial partial-thickness burns involve the epidermis and upper dermis, presenting with painful blisters, moist pink base, and rapid capillary blanching.</t>
        </is>
      </c>
    </row>
  </sheetData>
  <mergeCells count="1">
    <mergeCell ref="A1: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2026-10-04T16:44:03Z</dcterms:created>
  <dcterms:modified xmlns:dcterms="http://purl.org/dc/terms/" xmlns:xsi="http://www.w3.org/2001/XMLSchema-instance" xsi:type="dcterms:W3CDTF">2026-10-04T16:44:03Z</dcterms:modified>
</cp:coreProperties>
</file>