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of Contents" sheetId="1" state="visible" r:id="rId1"/>
    <sheet xmlns:r="http://schemas.openxmlformats.org/officeDocument/2006/relationships" name="Interactive Quiz Portal" sheetId="2" state="visible" r:id="rId2"/>
    <sheet xmlns:r="http://schemas.openxmlformats.org/officeDocument/2006/relationships" name="Answer Key &amp; Explan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2F5496"/>
      <sz val="16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2F5496"/>
      <sz val="11"/>
    </font>
    <font>
      <name val="Calibri"/>
      <b val="1"/>
      <color rgb="000000FF"/>
      <sz val="10"/>
    </font>
    <font>
      <name val="Calibri"/>
      <b val="1"/>
      <color rgb="002F5496"/>
      <sz val="15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CE6F1"/>
        <bgColor rgb="00DCE6F1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6" fillId="2" borderId="0" pivotButton="0" quotePrefix="0" xfId="0"/>
    <xf numFmtId="0" fontId="7" fillId="3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" fontId="7" fillId="4" borderId="0" applyAlignment="1" pivotButton="0" quotePrefix="0" xfId="0">
      <alignment horizontal="center"/>
    </xf>
    <xf numFmtId="164" fontId="7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10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0" fillId="5" borderId="1" applyAlignment="1" pivotButton="0" quotePrefix="0" xfId="0">
      <alignment horizontal="center" vertical="top"/>
    </xf>
    <xf numFmtId="0" fontId="0" fillId="5" borderId="1" applyAlignment="1" pivotButton="0" quotePrefix="0" xfId="0">
      <alignment vertical="top" wrapText="1"/>
    </xf>
    <xf numFmtId="0" fontId="7" fillId="4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75" customWidth="1" min="3" max="3"/>
    <col width="28" customWidth="1" min="4" max="4"/>
  </cols>
  <sheetData>
    <row r="1">
      <c r="A1" s="1" t="inlineStr">
        <is>
          <t>Module 2: Trauma, Burns, Head Injury &amp; Emergency Surgery - Interactive Quiz</t>
        </is>
      </c>
    </row>
    <row r="2">
      <c r="A2" s="2" t="inlineStr">
        <is>
          <t>Generated: October 2026 | Version v1.0 | Gemini Notebook Surgical Suite</t>
        </is>
      </c>
    </row>
    <row r="4">
      <c r="A4" s="3" t="inlineStr">
        <is>
          <t>WORKBOOK FORMATTING LEGEND</t>
        </is>
      </c>
    </row>
    <row r="5">
      <c r="A5" s="4" t="inlineStr">
        <is>
          <t>Light Blue (#DCE6F1)</t>
        </is>
      </c>
      <c r="B5" s="5" t="inlineStr">
        <is>
          <t>Student Input Cells (Protected Dropdown A, B, C, D, E)</t>
        </is>
      </c>
    </row>
    <row r="6">
      <c r="A6" s="6" t="inlineStr">
        <is>
          <t>Light Green (#E2EFDA)</t>
        </is>
      </c>
      <c r="B6" s="5" t="inlineStr">
        <is>
          <t>Computed Formulas &amp; Automated Scorecard Outputs</t>
        </is>
      </c>
    </row>
    <row r="7">
      <c r="A7" s="7" t="inlineStr">
        <is>
          <t>Zebra Gray (#F2F2F2)</t>
        </is>
      </c>
      <c r="B7" s="5" t="inlineStr">
        <is>
          <t>Alternate Data Row Striping for Visual Clarity</t>
        </is>
      </c>
    </row>
    <row r="8">
      <c r="A8" s="8" t="inlineStr">
        <is>
          <t>Dark Blue (#2F5496)</t>
        </is>
      </c>
      <c r="B8" s="5" t="inlineStr">
        <is>
          <t>Header Banners &amp; Section Titles</t>
        </is>
      </c>
    </row>
    <row r="10">
      <c r="A10" s="3" t="inlineStr">
        <is>
          <t>NAVIGATION PORTAL</t>
        </is>
      </c>
    </row>
    <row r="11">
      <c r="A11" s="9" t="inlineStr">
        <is>
          <t>Sheet Name</t>
        </is>
      </c>
      <c r="B11" s="9" t="inlineStr">
        <is>
          <t>Target Audience</t>
        </is>
      </c>
      <c r="C11" s="9" t="inlineStr">
        <is>
          <t>Description &amp; Purpose</t>
        </is>
      </c>
      <c r="D11" s="9" t="inlineStr">
        <is>
          <t>Quick Navigation Link</t>
        </is>
      </c>
    </row>
    <row r="12">
      <c r="A12" s="10" t="inlineStr">
        <is>
          <t>Interactive Quiz Portal</t>
        </is>
      </c>
      <c r="B12" s="5" t="inlineStr">
        <is>
          <t>Student / Examinee</t>
        </is>
      </c>
      <c r="C12" s="5" t="inlineStr">
        <is>
          <t>15 High-Yield Module 2 MCQs with live formula grading &amp; automated scorecard</t>
        </is>
      </c>
      <c r="D12" s="11">
        <f>HYPERLINK("#'Interactive Quiz Portal'!A1", "Go to Quiz Portal -&gt;")</f>
        <v/>
      </c>
    </row>
    <row r="13">
      <c r="A13" s="10" t="inlineStr">
        <is>
          <t>Answer Key &amp; Explanations</t>
        </is>
      </c>
      <c r="B13" s="5" t="inlineStr">
        <is>
          <t>Instructor / Reviewer</t>
        </is>
      </c>
      <c r="C13" s="5" t="inlineStr">
        <is>
          <t>Master Answer Key with deeply grounded clinical rationales &amp; lecture sources</t>
        </is>
      </c>
      <c r="D13" s="11">
        <f>HYPERLINK("#'Answer Key &amp; Explanations'!A1", "Go to Answer Key -&gt;")</f>
        <v/>
      </c>
    </row>
  </sheetData>
  <mergeCells count="2">
    <mergeCell ref="A10:D10"/>
    <mergeCell ref="A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15" customWidth="1" min="8" max="8"/>
    <col width="22" customWidth="1" min="9" max="9"/>
  </cols>
  <sheetData>
    <row r="1">
      <c r="A1" s="12" t="inlineStr">
        <is>
          <t>Module 2: Trauma, Burns, Head Injury &amp; Emergency Surgery - Student Portal</t>
        </is>
      </c>
    </row>
    <row r="3">
      <c r="A3" s="3" t="inlineStr">
        <is>
          <t>AUTOMATED STUDENT SCORECARD</t>
        </is>
      </c>
    </row>
    <row r="4">
      <c r="A4" s="10" t="inlineStr">
        <is>
          <t>Questions Attempted:</t>
        </is>
      </c>
      <c r="B4" s="13">
        <f>COUNTA(H9:H23)</f>
        <v/>
      </c>
    </row>
    <row r="5">
      <c r="A5" s="10" t="inlineStr">
        <is>
          <t>Correct Answers:</t>
        </is>
      </c>
      <c r="B5" s="13">
        <f>COUNTIF(I9:I23, "*Correct*")</f>
        <v/>
      </c>
    </row>
    <row r="6">
      <c r="A6" s="10" t="inlineStr">
        <is>
          <t>Overall Grade Score %:</t>
        </is>
      </c>
      <c r="B6" s="14">
        <f>IF(B4=0, 0, B5/15)</f>
        <v/>
      </c>
    </row>
    <row r="8">
      <c r="A8" s="15" t="inlineStr">
        <is>
          <t>Q#</t>
        </is>
      </c>
      <c r="B8" s="15" t="inlineStr">
        <is>
          <t>Clinical Question &amp; Vignette</t>
        </is>
      </c>
      <c r="C8" s="15" t="inlineStr">
        <is>
          <t>Option A</t>
        </is>
      </c>
      <c r="D8" s="15" t="inlineStr">
        <is>
          <t>Option B</t>
        </is>
      </c>
      <c r="E8" s="15" t="inlineStr">
        <is>
          <t>Option C</t>
        </is>
      </c>
      <c r="F8" s="15" t="inlineStr">
        <is>
          <t>Option D</t>
        </is>
      </c>
      <c r="G8" s="15" t="inlineStr">
        <is>
          <t>Option E</t>
        </is>
      </c>
      <c r="H8" s="15" t="inlineStr">
        <is>
          <t>Your Answer</t>
        </is>
      </c>
      <c r="I8" s="15" t="inlineStr">
        <is>
          <t>Real-Time Grade</t>
        </is>
      </c>
    </row>
    <row r="9">
      <c r="A9" s="16" t="n">
        <v>1</v>
      </c>
      <c r="B9" s="17" t="inlineStr">
        <is>
          <t>A 17-year-old male is admitted 1 hour after being kicked in the lower chest by a horse. He is pale, hypotensive (80/40 mmHg), tachycardic (110 bpm), with severe LUQ tenderness and left shoulder tip pain. What is the diagnosis?</t>
        </is>
      </c>
      <c r="C9" s="17" t="inlineStr">
        <is>
          <t>Liver laceration</t>
        </is>
      </c>
      <c r="D9" s="17" t="inlineStr">
        <is>
          <t>Splenic rupture</t>
        </is>
      </c>
      <c r="E9" s="17" t="inlineStr">
        <is>
          <t>Mesenteric tear</t>
        </is>
      </c>
      <c r="F9" s="17" t="inlineStr">
        <is>
          <t>Renal contusion</t>
        </is>
      </c>
      <c r="G9" s="17" t="inlineStr">
        <is>
          <t>Peptic ulcer perforation</t>
        </is>
      </c>
      <c r="H9" s="18" t="n"/>
      <c r="I9" s="19">
        <f>IF(ISBLANK(H9), "", IF(H9='Answer Key &amp; Explanations'!C9, "✅ Correct", "❌ Incorrect (See Key)"))</f>
        <v/>
      </c>
    </row>
    <row r="10">
      <c r="A10" s="20" t="n">
        <v>2</v>
      </c>
      <c r="B10" s="21" t="inlineStr">
        <is>
          <t>By definition, primary brain injury occurs at which point in time following head trauma?</t>
        </is>
      </c>
      <c r="C10" s="21" t="inlineStr">
        <is>
          <t>24 hours post-injury due to cerebral edema</t>
        </is>
      </c>
      <c r="D10" s="21" t="inlineStr">
        <is>
          <t>At the exact moment of initial impact</t>
        </is>
      </c>
      <c r="E10" s="21" t="inlineStr">
        <is>
          <t>48 hours later due to ischemia</t>
        </is>
      </c>
      <c r="F10" s="21" t="inlineStr">
        <is>
          <t>During transport to the emergency room</t>
        </is>
      </c>
      <c r="G10" s="21" t="inlineStr">
        <is>
          <t>After surgical decompression</t>
        </is>
      </c>
      <c r="H10" s="18" t="n"/>
      <c r="I10" s="19">
        <f>IF(ISBLANK(H10), "", IF(H10='Answer Key &amp; Explanations'!C10, "✅ Correct", "❌ Incorrect (See Key)"))</f>
        <v/>
      </c>
    </row>
    <row r="11">
      <c r="A11" s="16" t="n">
        <v>3</v>
      </c>
      <c r="B11" s="17" t="inlineStr">
        <is>
          <t>How is Cerebral Perfusion Pressure (CPP) defined in neurotrauma monitoring?</t>
        </is>
      </c>
      <c r="C11" s="17" t="inlineStr">
        <is>
          <t>Systolic BP - Diastolic BP</t>
        </is>
      </c>
      <c r="D11" s="17" t="inlineStr">
        <is>
          <t>Mean Arterial Pressure - Intracranial Pressure (MAP - ICP)</t>
        </is>
      </c>
      <c r="E11" s="17" t="inlineStr">
        <is>
          <t>Venous Pressure - Intracranial Pressure</t>
        </is>
      </c>
      <c r="F11" s="17" t="inlineStr">
        <is>
          <t>Systolic BP - Venous Pressure</t>
        </is>
      </c>
      <c r="G11" s="17" t="inlineStr">
        <is>
          <t>Diastolic BP - Intracranial Pressure</t>
        </is>
      </c>
      <c r="H11" s="18" t="n"/>
      <c r="I11" s="19">
        <f>IF(ISBLANK(H11), "", IF(H11='Answer Key &amp; Explanations'!C11, "✅ Correct", "❌ Incorrect (See Key)"))</f>
        <v/>
      </c>
    </row>
    <row r="12">
      <c r="A12" s="20" t="n">
        <v>4</v>
      </c>
      <c r="B12" s="21" t="inlineStr">
        <is>
          <t>According to the Monro-Kellie doctrine, an expanding intracranial mass initially causes compensatory displacement of which intravascular component?</t>
        </is>
      </c>
      <c r="C12" s="21" t="inlineStr">
        <is>
          <t>Arterial blood volume</t>
        </is>
      </c>
      <c r="D12" s="21" t="inlineStr">
        <is>
          <t>Venous blood and cerebrospinal fluid (CSF)</t>
        </is>
      </c>
      <c r="E12" s="21" t="inlineStr">
        <is>
          <t>Intracellular brain parenchymal water</t>
        </is>
      </c>
      <c r="F12" s="21" t="inlineStr">
        <is>
          <t>Lymphatic fluid</t>
        </is>
      </c>
      <c r="G12" s="21" t="inlineStr">
        <is>
          <t>Extracellular matrix protein</t>
        </is>
      </c>
      <c r="H12" s="18" t="n"/>
      <c r="I12" s="19">
        <f>IF(ISBLANK(H12), "", IF(H12='Answer Key &amp; Explanations'!C12, "✅ Correct", "❌ Incorrect (See Key)"))</f>
        <v/>
      </c>
    </row>
    <row r="13">
      <c r="A13" s="16" t="n">
        <v>5</v>
      </c>
      <c r="B13" s="17" t="inlineStr">
        <is>
          <t>According to NICE head injury guidelines, CT head scan within 8 hours is indicated for mild head injury patients with which feature?</t>
        </is>
      </c>
      <c r="C13" s="17" t="inlineStr">
        <is>
          <t>Single episode of vomiting</t>
        </is>
      </c>
      <c r="D13" s="17" t="inlineStr">
        <is>
          <t>Ongoing mild headache</t>
        </is>
      </c>
      <c r="E13" s="17" t="inlineStr">
        <is>
          <t>Age over 65 or having a clotting disorder</t>
        </is>
      </c>
      <c r="F13" s="17" t="inlineStr">
        <is>
          <t>Low energy injury mechanism</t>
        </is>
      </c>
      <c r="G13" s="17" t="inlineStr">
        <is>
          <t>Brief transient loss of consciousness</t>
        </is>
      </c>
      <c r="H13" s="18" t="n"/>
      <c r="I13" s="19">
        <f>IF(ISBLANK(H13), "", IF(H13='Answer Key &amp; Explanations'!C13, "✅ Correct", "❌ Incorrect (See Key)"))</f>
        <v/>
      </c>
    </row>
    <row r="14">
      <c r="A14" s="20" t="n">
        <v>6</v>
      </c>
      <c r="B14" s="21" t="inlineStr">
        <is>
          <t>Which clinical sign is NOT an indicator of a basal skull fracture?</t>
        </is>
      </c>
      <c r="C14" s="21" t="inlineStr">
        <is>
          <t>Battle's sign (mastoid ecchymosis)</t>
        </is>
      </c>
      <c r="D14" s="21" t="inlineStr">
        <is>
          <t>Periorbital bruising (Raccoon eyes)</t>
        </is>
      </c>
      <c r="E14" s="21" t="inlineStr">
        <is>
          <t>CSF rhinorrhea / otorrhea</t>
        </is>
      </c>
      <c r="F14" s="21" t="inlineStr">
        <is>
          <t>Unequal pupils (anisocoria)</t>
        </is>
      </c>
      <c r="G14" s="21" t="inlineStr">
        <is>
          <t>Hemotympanum</t>
        </is>
      </c>
      <c r="H14" s="18" t="n"/>
      <c r="I14" s="19">
        <f>IF(ISBLANK(H14), "", IF(H14='Answer Key &amp; Explanations'!C14, "✅ Correct", "❌ Incorrect (See Key)"))</f>
        <v/>
      </c>
    </row>
    <row r="15">
      <c r="A15" s="16" t="n">
        <v>7</v>
      </c>
      <c r="B15" s="17" t="inlineStr">
        <is>
          <t>What is the total fluid resuscitation volume calculated by the Parkland formula for a 70 kg patient with 30% TBSA burns over the first 24 hours?</t>
        </is>
      </c>
      <c r="C15" s="17" t="inlineStr">
        <is>
          <t>2,100 mL Ringer's Lactate</t>
        </is>
      </c>
      <c r="D15" s="17" t="inlineStr">
        <is>
          <t>4,200 mL Ringer's Lactate</t>
        </is>
      </c>
      <c r="E15" s="17" t="inlineStr">
        <is>
          <t>8,400 mL Ringer's Lactate</t>
        </is>
      </c>
      <c r="F15" s="17" t="inlineStr">
        <is>
          <t>12,600 mL Ringer's Lactate</t>
        </is>
      </c>
      <c r="G15" s="17" t="inlineStr">
        <is>
          <t>16,800 mL Ringer's Lactate</t>
        </is>
      </c>
      <c r="H15" s="18" t="n"/>
      <c r="I15" s="19">
        <f>IF(ISBLANK(H15), "", IF(H15='Answer Key &amp; Explanations'!C15, "✅ Correct", "❌ Incorrect (See Key)"))</f>
        <v/>
      </c>
    </row>
    <row r="16">
      <c r="A16" s="20" t="n">
        <v>8</v>
      </c>
      <c r="B16" s="21" t="inlineStr">
        <is>
          <t>A patient rescued from a burning building presents with soot around nostrils, singed nasal hairs, hoarseness, and stridor. What is the primary management priority?</t>
        </is>
      </c>
      <c r="C16" s="21" t="inlineStr">
        <is>
          <t>Empiric IV antibiotics</t>
        </is>
      </c>
      <c r="D16" s="21" t="inlineStr">
        <is>
          <t>Early elective endotracheal intubation</t>
        </is>
      </c>
      <c r="E16" s="21" t="inlineStr">
        <is>
          <t>Immediate surgical chest escharotomy</t>
        </is>
      </c>
      <c r="F16" s="21" t="inlineStr">
        <is>
          <t>High-dose IV steroids</t>
        </is>
      </c>
      <c r="G16" s="21" t="inlineStr">
        <is>
          <t>Nebulized salbutamol alone</t>
        </is>
      </c>
      <c r="H16" s="18" t="n"/>
      <c r="I16" s="19">
        <f>IF(ISBLANK(H16), "", IF(H16='Answer Key &amp; Explanations'!C16, "✅ Correct", "❌ Incorrect (See Key)"))</f>
        <v/>
      </c>
    </row>
    <row r="17">
      <c r="A17" s="16" t="n">
        <v>9</v>
      </c>
      <c r="B17" s="17" t="inlineStr">
        <is>
          <t>Where are the transverse escharotomy incision lines performed on the anterior chest for restrictive circumferential full-thickness burns?</t>
        </is>
      </c>
      <c r="C17" s="17" t="inlineStr">
        <is>
          <t>At the level of the umbilicus</t>
        </is>
      </c>
      <c r="D17" s="17" t="inlineStr">
        <is>
          <t>Below the clavicles and at the xiphisternum level</t>
        </is>
      </c>
      <c r="E17" s="17" t="inlineStr">
        <is>
          <t>Vertically down the sternal midline</t>
        </is>
      </c>
      <c r="F17" s="17" t="inlineStr">
        <is>
          <t>Along the posterior axillary line</t>
        </is>
      </c>
      <c r="G17" s="17" t="inlineStr">
        <is>
          <t>Over the 2nd intercostal space</t>
        </is>
      </c>
      <c r="H17" s="18" t="n"/>
      <c r="I17" s="19">
        <f>IF(ISBLANK(H17), "", IF(H17='Answer Key &amp; Explanations'!C17, "✅ Correct", "❌ Incorrect (See Key)"))</f>
        <v/>
      </c>
    </row>
    <row r="18">
      <c r="A18" s="20" t="n">
        <v>10</v>
      </c>
      <c r="B18" s="21" t="inlineStr">
        <is>
          <t>A 40-year-old butcher stabs himself in the thigh. He is bleeding heavily and tachycardic. In the initial ATLS assessment, which step is NOT routinely prioritized?</t>
        </is>
      </c>
      <c r="C18" s="21" t="inlineStr">
        <is>
          <t>Airway with cervical spine control</t>
        </is>
      </c>
      <c r="D18" s="21" t="inlineStr">
        <is>
          <t>Breathing and ventilation</t>
        </is>
      </c>
      <c r="E18" s="21" t="inlineStr">
        <is>
          <t>Circulation and hemorrhage control</t>
        </is>
      </c>
      <c r="F18" s="21" t="inlineStr">
        <is>
          <t>Routine cervical spine imaging</t>
        </is>
      </c>
      <c r="G18" s="21" t="inlineStr">
        <is>
          <t>FAST ultrasound scan</t>
        </is>
      </c>
      <c r="H18" s="18" t="n"/>
      <c r="I18" s="19">
        <f>IF(ISBLANK(H18), "", IF(H18='Answer Key &amp; Explanations'!C18, "✅ Correct", "❌ Incorrect (See Key)"))</f>
        <v/>
      </c>
    </row>
    <row r="19">
      <c r="A19" s="16" t="n">
        <v>11</v>
      </c>
      <c r="B19" s="17" t="inlineStr">
        <is>
          <t>What is the minimum score on the Glasgow Coma Scale (GCS), and what score signifies severe head injury (coma)?</t>
        </is>
      </c>
      <c r="C19" s="17" t="inlineStr">
        <is>
          <t>Minimum 0; severe head injury &lt;= 5</t>
        </is>
      </c>
      <c r="D19" s="17" t="inlineStr">
        <is>
          <t>Minimum 1; severe head injury &lt;= 6</t>
        </is>
      </c>
      <c r="E19" s="17" t="inlineStr">
        <is>
          <t>Minimum 3; severe head injury &lt;= 8</t>
        </is>
      </c>
      <c r="F19" s="17" t="inlineStr">
        <is>
          <t>Minimum 5; severe head injury &lt;= 10</t>
        </is>
      </c>
      <c r="G19" s="17" t="inlineStr">
        <is>
          <t>Minimum 4; severe head injury &lt;= 7</t>
        </is>
      </c>
      <c r="H19" s="18" t="n"/>
      <c r="I19" s="19">
        <f>IF(ISBLANK(H19), "", IF(H19='Answer Key &amp; Explanations'!C19, "✅ Correct", "❌ Incorrect (See Key)"))</f>
        <v/>
      </c>
    </row>
    <row r="20">
      <c r="A20" s="20" t="n">
        <v>12</v>
      </c>
      <c r="B20" s="21" t="inlineStr">
        <is>
          <t>What is the primary objective of Phase I in Damage Control Surgery (DCS)?</t>
        </is>
      </c>
      <c r="C20" s="21" t="inlineStr">
        <is>
          <t>Definitive anatomical organ reconstruction</t>
        </is>
      </c>
      <c r="D20" s="21" t="inlineStr">
        <is>
          <t>Immediate control of hemorrhage and contamination control</t>
        </is>
      </c>
      <c r="E20" s="21" t="inlineStr">
        <is>
          <t>Abdominal wall tension-free closure</t>
        </is>
      </c>
      <c r="F20" s="21" t="inlineStr">
        <is>
          <t>Prolonged ICU physiological resuscitation</t>
        </is>
      </c>
      <c r="G20" s="21" t="inlineStr">
        <is>
          <t>Early oral refeeding</t>
        </is>
      </c>
      <c r="H20" s="18" t="n"/>
      <c r="I20" s="19">
        <f>IF(ISBLANK(H20), "", IF(H20='Answer Key &amp; Explanations'!C20, "✅ Correct", "❌ Incorrect (See Key)"))</f>
        <v/>
      </c>
    </row>
    <row r="21">
      <c r="A21" s="16" t="n">
        <v>13</v>
      </c>
      <c r="B21" s="17" t="inlineStr">
        <is>
          <t>A trauma patient presents with tracheal deviation to the right, absent left breath sounds, hyperresonance, and severe hypotension. What is the immediate life-saving treatment?</t>
        </is>
      </c>
      <c r="C21" s="17" t="inlineStr">
        <is>
          <t>Immediate chest CT scan</t>
        </is>
      </c>
      <c r="D21" s="17" t="inlineStr">
        <is>
          <t>Urgent needle thoracocentesis (decompression)</t>
        </is>
      </c>
      <c r="E21" s="17" t="inlineStr">
        <is>
          <t>Elective endotracheal intubation</t>
        </is>
      </c>
      <c r="F21" s="17" t="inlineStr">
        <is>
          <t>Pericardiocentesis</t>
        </is>
      </c>
      <c r="G21" s="17" t="inlineStr">
        <is>
          <t>Invasive arterial line placement</t>
        </is>
      </c>
      <c r="H21" s="18" t="n"/>
      <c r="I21" s="19">
        <f>IF(ISBLANK(H21), "", IF(H21='Answer Key &amp; Explanations'!C21, "✅ Correct", "❌ Incorrect (See Key)"))</f>
        <v/>
      </c>
    </row>
    <row r="22">
      <c r="A22" s="20" t="n">
        <v>14</v>
      </c>
      <c r="B22" s="21" t="inlineStr">
        <is>
          <t>Beck's triad for acute cardiac tamponade in penetrating thoracic trauma consists of:</t>
        </is>
      </c>
      <c r="C22" s="21" t="inlineStr">
        <is>
          <t>Tachycardia, fever, leukocytosis</t>
        </is>
      </c>
      <c r="D22" s="21" t="inlineStr">
        <is>
          <t>Hypotension, muffled heart sounds, elevated JVP</t>
        </is>
      </c>
      <c r="E22" s="21" t="inlineStr">
        <is>
          <t>Hypertension, bradycardia, irregular breathing</t>
        </is>
      </c>
      <c r="F22" s="21" t="inlineStr">
        <is>
          <t>Tracheal deviation, hyperresonance, absent breath sounds</t>
        </is>
      </c>
      <c r="G22" s="21" t="inlineStr">
        <is>
          <t>Flail chest, hemoptysis, hypoxia</t>
        </is>
      </c>
      <c r="H22" s="18" t="n"/>
      <c r="I22" s="19">
        <f>IF(ISBLANK(H22), "", IF(H22='Answer Key &amp; Explanations'!C22, "✅ Correct", "❌ Incorrect (See Key)"))</f>
        <v/>
      </c>
    </row>
    <row r="23">
      <c r="A23" s="16" t="n">
        <v>15</v>
      </c>
      <c r="B23" s="17" t="inlineStr">
        <is>
          <t>A patient with 3 adjacent ribs fractured in 2 places each exhibits paradoxical chest movement. What is the primary underlying pulmonary risk?</t>
        </is>
      </c>
      <c r="C23" s="17" t="inlineStr">
        <is>
          <t>Acute appendicitis</t>
        </is>
      </c>
      <c r="D23" s="17" t="inlineStr">
        <is>
          <t>Underlying severe pulmonary contusion and respiratory failure</t>
        </is>
      </c>
      <c r="E23" s="17" t="inlineStr">
        <is>
          <t>Spontaneous pneumothorax resolution</t>
        </is>
      </c>
      <c r="F23" s="17" t="inlineStr">
        <is>
          <t>Tracheoesophageal fistula</t>
        </is>
      </c>
      <c r="G23" s="17" t="inlineStr">
        <is>
          <t>Myocardial infarction</t>
        </is>
      </c>
      <c r="H23" s="18" t="n"/>
      <c r="I23" s="19">
        <f>IF(ISBLANK(H23), "", IF(H23='Answer Key &amp; Explanations'!C23, "✅ Correct", "❌ Incorrect (See Key)"))</f>
        <v/>
      </c>
    </row>
  </sheetData>
  <mergeCells count="1">
    <mergeCell ref="A3:D3"/>
  </mergeCells>
  <dataValidations count="1">
    <dataValidation sqref="H9 H10 H11 H12 H13 H14 H15 H16 H17 H18 H19 H20 H21 H22 H23" showDropDown="0" showInputMessage="0" showErrorMessage="0" allowBlank="1" type="list">
      <formula1>"A,B,C,D,E"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80" customWidth="1" min="4" max="4"/>
  </cols>
  <sheetData>
    <row r="1">
      <c r="A1" s="12" t="inlineStr">
        <is>
          <t>Module 2: Trauma, Burns, Head Injury &amp; Emergency Surgery - Instructor Answer Key</t>
        </is>
      </c>
    </row>
    <row r="8">
      <c r="A8" s="15" t="inlineStr">
        <is>
          <t>Q#</t>
        </is>
      </c>
      <c r="B8" s="15" t="inlineStr">
        <is>
          <t>Topic / Clinical Scenario</t>
        </is>
      </c>
      <c r="C8" s="15" t="inlineStr">
        <is>
          <t>Correct Answer</t>
        </is>
      </c>
      <c r="D8" s="15" t="inlineStr">
        <is>
          <t>Deeply Grounded Clinical Explanation &amp; Lecture Source Reference</t>
        </is>
      </c>
    </row>
    <row r="9">
      <c r="A9" s="16" t="n">
        <v>1</v>
      </c>
      <c r="B9" s="17" t="inlineStr">
        <is>
          <t>Splenic Rupture</t>
        </is>
      </c>
      <c r="C9" s="22" t="inlineStr">
        <is>
          <t>B</t>
        </is>
      </c>
      <c r="D9" s="17" t="inlineStr">
        <is>
          <t>Splenic rupture presents following blunt lower chest/LUQ trauma with hypovolemic shock, localized LUQ tenderness, Kehr's sign (referred left shoulder tip pain from phrenic irritation), and Ballance's sign.</t>
        </is>
      </c>
    </row>
    <row r="10">
      <c r="A10" s="20" t="n">
        <v>2</v>
      </c>
      <c r="B10" s="21" t="inlineStr">
        <is>
          <t>Primary Brain Injury</t>
        </is>
      </c>
      <c r="C10" s="22" t="inlineStr">
        <is>
          <t>B</t>
        </is>
      </c>
      <c r="D10" s="21" t="inlineStr">
        <is>
          <t>Primary brain injury occurs at the exact moment of impact (mechanical damage to parenchyma and vessels). Secondary brain injury develops hours/days later from edema, hypoxia, and raised ICP.</t>
        </is>
      </c>
    </row>
    <row r="11">
      <c r="A11" s="16" t="n">
        <v>3</v>
      </c>
      <c r="B11" s="17" t="inlineStr">
        <is>
          <t>CPP Definition</t>
        </is>
      </c>
      <c r="C11" s="22" t="inlineStr">
        <is>
          <t>B</t>
        </is>
      </c>
      <c r="D11" s="17" t="inlineStr">
        <is>
          <t>Cerebral Perfusion Pressure is defined as Mean Arterial Blood Pressure minus Intracranial Pressure (CPP = MAP - ICP).</t>
        </is>
      </c>
    </row>
    <row r="12">
      <c r="A12" s="20" t="n">
        <v>4</v>
      </c>
      <c r="B12" s="21" t="inlineStr">
        <is>
          <t>Monro-Kellie Doctrine</t>
        </is>
      </c>
      <c r="C12" s="22" t="inlineStr">
        <is>
          <t>B</t>
        </is>
      </c>
      <c r="D12" s="21" t="inlineStr">
        <is>
          <t>The Monro-Kellie doctrine states the rigid skull contains brain, blood, and CSF. An expanding mass initially displaces venous blood and CSF into the spinal canal to buffer ICP.</t>
        </is>
      </c>
    </row>
    <row r="13">
      <c r="A13" s="16" t="n">
        <v>5</v>
      </c>
      <c r="B13" s="17" t="inlineStr">
        <is>
          <t>NICE CT Head Guidelines</t>
        </is>
      </c>
      <c r="C13" s="22" t="inlineStr">
        <is>
          <t>C</t>
        </is>
      </c>
      <c r="D13" s="17" t="inlineStr">
        <is>
          <t>Under NICE guidelines, CT head within 8 hours for mild head injury is indicated in patients aged &gt; 65 or those with a coagulopathy / clotting disorder.</t>
        </is>
      </c>
    </row>
    <row r="14">
      <c r="A14" s="20" t="n">
        <v>6</v>
      </c>
      <c r="B14" s="21" t="inlineStr">
        <is>
          <t>Basal Skull Fracture</t>
        </is>
      </c>
      <c r="C14" s="22" t="inlineStr">
        <is>
          <t>D</t>
        </is>
      </c>
      <c r="D14" s="21" t="inlineStr">
        <is>
          <t>Battle's sign, raccoon eyes, CSF leaks, and hemotympanum indicate basal skull fracture. Unequal pupils (anisocoria) signify uncal herniation compressing CN III.</t>
        </is>
      </c>
    </row>
    <row r="15">
      <c r="A15" s="16" t="n">
        <v>7</v>
      </c>
      <c r="B15" s="17" t="inlineStr">
        <is>
          <t>Parkland Formula</t>
        </is>
      </c>
      <c r="C15" s="22" t="inlineStr">
        <is>
          <t>C</t>
        </is>
      </c>
      <c r="D15" s="17" t="inlineStr">
        <is>
          <t>Parkland formula = 4 mL x weight (70 kg) x % TBSA (30) = 8,400 mL Ringer's Lactate over 24 hours (first half in 8 hrs, second half in 16 hrs).</t>
        </is>
      </c>
    </row>
    <row r="16">
      <c r="A16" s="20" t="n">
        <v>8</v>
      </c>
      <c r="B16" s="21" t="inlineStr">
        <is>
          <t>Inhalational Injury</t>
        </is>
      </c>
      <c r="C16" s="22" t="inlineStr">
        <is>
          <t>B</t>
        </is>
      </c>
      <c r="D16" s="21" t="inlineStr">
        <is>
          <t>Airway soot, singed hairs, stridor, and hoarseness indicate impending upper airway edema. Early elective intubation is essential before swelling completely occludes the airway.</t>
        </is>
      </c>
    </row>
    <row r="17">
      <c r="A17" s="16" t="n">
        <v>9</v>
      </c>
      <c r="B17" s="17" t="inlineStr">
        <is>
          <t>Chest Escharotomy</t>
        </is>
      </c>
      <c r="C17" s="22" t="inlineStr">
        <is>
          <t>B</t>
        </is>
      </c>
      <c r="D17" s="17" t="inlineStr">
        <is>
          <t>Anterior chest escharotomy incisions are performed along transverse lines below the clavicles and at the level of the xiphisternum, connected by vertical bilateral anterior axillary lines.</t>
        </is>
      </c>
    </row>
    <row r="18">
      <c r="A18" s="20" t="n">
        <v>10</v>
      </c>
      <c r="B18" s="21" t="inlineStr">
        <is>
          <t>ATLS Penetrating Trauma</t>
        </is>
      </c>
      <c r="C18" s="22" t="inlineStr">
        <is>
          <t>D</t>
        </is>
      </c>
      <c r="D18" s="21" t="inlineStr">
        <is>
          <t>In isolated penetrating trauma (e.g. stab wound to leg/thigh) without neck trauma or neurological deficits, routine C-spine imaging is NOT prioritized over ABCs and FAST scan.</t>
        </is>
      </c>
    </row>
    <row r="19">
      <c r="A19" s="16" t="n">
        <v>11</v>
      </c>
      <c r="B19" s="17" t="inlineStr">
        <is>
          <t>Glasgow Coma Scale</t>
        </is>
      </c>
      <c r="C19" s="22" t="inlineStr">
        <is>
          <t>C</t>
        </is>
      </c>
      <c r="D19" s="17" t="inlineStr">
        <is>
          <t>GCS ranges from minimum 3 to maximum 15. A score of &lt;= 8 defines severe head injury (coma) and mandates immediate airway protection/intubation.</t>
        </is>
      </c>
    </row>
    <row r="20">
      <c r="A20" s="20" t="n">
        <v>12</v>
      </c>
      <c r="B20" s="21" t="inlineStr">
        <is>
          <t>Damage Control Surgery</t>
        </is>
      </c>
      <c r="C20" s="22" t="inlineStr">
        <is>
          <t>B</t>
        </is>
      </c>
      <c r="D20" s="21" t="inlineStr">
        <is>
          <t>DCS Phase I focuses strictly on rapid surgical control of life-threatening hemorrhage and contamination control, deferring complex reconstruction to Phase III.</t>
        </is>
      </c>
    </row>
    <row r="21">
      <c r="A21" s="16" t="n">
        <v>13</v>
      </c>
      <c r="B21" s="17" t="inlineStr">
        <is>
          <t>Tension Pneumothorax</t>
        </is>
      </c>
      <c r="C21" s="22" t="inlineStr">
        <is>
          <t>B</t>
        </is>
      </c>
      <c r="D21" s="17" t="inlineStr">
        <is>
          <t>Tracheal deviation, absent breath sounds, hyperresonance, and shock signify tension pneumothorax. Immediate needle thoracocentesis decompression (2nd ICS MCL / 5th ICS AAL) is mandatory.</t>
        </is>
      </c>
    </row>
    <row r="22">
      <c r="A22" s="20" t="n">
        <v>14</v>
      </c>
      <c r="B22" s="21" t="inlineStr">
        <is>
          <t>Beck's Triad</t>
        </is>
      </c>
      <c r="C22" s="22" t="inlineStr">
        <is>
          <t>B</t>
        </is>
      </c>
      <c r="D22" s="21" t="inlineStr">
        <is>
          <t>Beck's triad for acute cardiac tamponade comprises hypotension, muffled/distant heart sounds, and elevated jugular venous pressure (JVP).</t>
        </is>
      </c>
    </row>
    <row r="23">
      <c r="A23" s="16" t="n">
        <v>15</v>
      </c>
      <c r="B23" s="17" t="inlineStr">
        <is>
          <t>Flail Chest</t>
        </is>
      </c>
      <c r="C23" s="22" t="inlineStr">
        <is>
          <t>B</t>
        </is>
      </c>
      <c r="D23" s="17" t="inlineStr">
        <is>
          <t>Flail chest (&gt;= 3 contiguous ribs fractured in &gt;= 2 places) causes paradoxical chest movement and is strongly associated with underlying pulmonary contusion, hypoxia, and respiratory failure.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2026-10-04T16:21:31Z</dcterms:created>
  <dcterms:modified xmlns:dcterms="http://purl.org/dc/terms/" xmlns:xsi="http://www.w3.org/2001/XMLSchema-instance" xsi:type="dcterms:W3CDTF">2026-10-04T16:21:31Z</dcterms:modified>
</cp:coreProperties>
</file>