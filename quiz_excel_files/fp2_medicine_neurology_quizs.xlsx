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Interactive Quiz" sheetId="2" state="visible" r:id="rId2"/>
    <sheet xmlns:r="http://schemas.openxmlformats.org/officeDocument/2006/relationships" name="Answer Key &amp; Explan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i val="1"/>
      <color rgb="00595959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2F549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4" fillId="2" borderId="1" pivotButton="0" quotePrefix="0" xfId="0"/>
    <xf numFmtId="164" fontId="5" fillId="5" borderId="1" pivotButton="0" quotePrefix="0" xfId="0"/>
    <xf numFmtId="0" fontId="4" fillId="3" borderId="2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2" borderId="2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4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5" customWidth="1" min="3" max="3"/>
    <col width="18" customWidth="1" min="4" max="4"/>
  </cols>
  <sheetData>
    <row r="2">
      <c r="B2" s="1" t="inlineStr">
        <is>
          <t>NEUROLOGY MODULE INTERACTIVE ASSESSMENT</t>
        </is>
      </c>
    </row>
    <row r="3">
      <c r="B3" s="2" t="inlineStr">
        <is>
          <t>v1.0 | Generated 2026-09-28 | Medical Final Exam Preparation</t>
        </is>
      </c>
    </row>
    <row r="5">
      <c r="B5" s="3" t="inlineStr">
        <is>
          <t>NAVIGATION &amp; TAB SUMMARY</t>
        </is>
      </c>
    </row>
    <row r="6">
      <c r="B6" s="4" t="inlineStr">
        <is>
          <t>Tab Name</t>
        </is>
      </c>
      <c r="C6" s="4" t="inlineStr">
        <is>
          <t>Description / Purpose</t>
        </is>
      </c>
      <c r="D6" s="4" t="inlineStr">
        <is>
          <t>Action Link</t>
        </is>
      </c>
    </row>
    <row r="7">
      <c r="B7" s="5" t="inlineStr">
        <is>
          <t>Interactive Quiz</t>
        </is>
      </c>
      <c r="C7" s="6" t="inlineStr">
        <is>
          <t>Student Portal: 30 high-yield clinical MCQs with automated scoring and dropdowns.</t>
        </is>
      </c>
      <c r="D7" s="7">
        <f>HYPERLINK("#'Interactive Quiz'!A1", "Go to Quiz →")</f>
        <v/>
      </c>
    </row>
    <row r="8">
      <c r="B8" s="5" t="inlineStr">
        <is>
          <t>Answer Key &amp; Explanations</t>
        </is>
      </c>
      <c r="C8" s="6" t="inlineStr">
        <is>
          <t>Instructor Portal: Correct answers (A-E) and textbook-style clinical rationales.</t>
        </is>
      </c>
      <c r="D8" s="7">
        <f>HYPERLINK("#'Answer Key &amp; Explanations'!A1", "Go to Key →")</f>
        <v/>
      </c>
    </row>
    <row r="10">
      <c r="B10" s="3" t="inlineStr">
        <is>
          <t>FORMATTING &amp; COLOR LEGEND</t>
        </is>
      </c>
    </row>
    <row r="11">
      <c r="B11" s="8" t="inlineStr">
        <is>
          <t>Light Blue (#DCE6F1)</t>
        </is>
      </c>
      <c r="C11" s="6" t="inlineStr">
        <is>
          <t>Editable Student Input Cells (Column I Dropdowns: A, B, C, D, E)</t>
        </is>
      </c>
    </row>
    <row r="12">
      <c r="B12" s="9" t="inlineStr">
        <is>
          <t>Light Green (#E2EFDA)</t>
        </is>
      </c>
      <c r="C12" s="6" t="inlineStr">
        <is>
          <t>Computed / Automated Formula Cells (Grade Scorecard &amp; Real-time Evaluation)</t>
        </is>
      </c>
    </row>
    <row r="13">
      <c r="B13" s="10" t="inlineStr">
        <is>
          <t>Zebra Gray (#F2F2F2)</t>
        </is>
      </c>
      <c r="C13" s="6" t="inlineStr">
        <is>
          <t>Alternate Read-Only Rows for Enhanced Horizontal Scanning Readability</t>
        </is>
      </c>
    </row>
    <row r="14">
      <c r="B14" s="11" t="inlineStr">
        <is>
          <t>Clinical Navy (#2F5496)</t>
        </is>
      </c>
      <c r="C14" s="6" t="inlineStr">
        <is>
          <t>Header Banners, Section Dividers, and Primary Visual Anchors</t>
        </is>
      </c>
    </row>
  </sheetData>
  <mergeCells count="2">
    <mergeCell ref="B10:D10"/>
    <mergeCell ref="B5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3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5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22" customWidth="1" min="9" max="9"/>
    <col width="22" customWidth="1" min="10" max="10"/>
  </cols>
  <sheetData>
    <row r="2">
      <c r="A2" s="1" t="inlineStr">
        <is>
          <t>NEUROLOGY MODULE INTERACTIVE QUIZ (STUDENT PORTAL)</t>
        </is>
      </c>
    </row>
    <row r="3">
      <c r="A3" s="2" t="inlineStr">
        <is>
          <t>Instructions: Select your answer (A, B, C, D, or E) in Column I for each question. Real-time feedback will calculate automatically.</t>
        </is>
      </c>
    </row>
    <row r="4">
      <c r="B4" s="3" t="inlineStr">
        <is>
          <t>EXECUTIVE SCORECARD</t>
        </is>
      </c>
    </row>
    <row r="5">
      <c r="B5" s="5" t="inlineStr">
        <is>
          <t>Questions Attempted</t>
        </is>
      </c>
      <c r="C5" s="9">
        <f>COUNTA(I10:I39)</f>
        <v/>
      </c>
    </row>
    <row r="6">
      <c r="B6" s="5" t="inlineStr">
        <is>
          <t>Correct Answers</t>
        </is>
      </c>
      <c r="C6" s="9">
        <f>COUNTIF(J10:J39, "*Correct*")</f>
        <v/>
      </c>
    </row>
    <row r="7">
      <c r="B7" s="5" t="inlineStr">
        <is>
          <t>Overall Grade (%)</t>
        </is>
      </c>
      <c r="C7" s="12">
        <f>IF(B5=0, 0, B6/30)</f>
        <v/>
      </c>
    </row>
    <row r="9">
      <c r="A9" s="13" t="inlineStr">
        <is>
          <t>Q#</t>
        </is>
      </c>
      <c r="B9" s="13" t="inlineStr">
        <is>
          <t>Sub-Category</t>
        </is>
      </c>
      <c r="C9" s="13" t="inlineStr">
        <is>
          <t>Clinical Vignette / Question Prompt</t>
        </is>
      </c>
      <c r="D9" s="13" t="inlineStr">
        <is>
          <t>Option A</t>
        </is>
      </c>
      <c r="E9" s="13" t="inlineStr">
        <is>
          <t>Option B</t>
        </is>
      </c>
      <c r="F9" s="13" t="inlineStr">
        <is>
          <t>Option C</t>
        </is>
      </c>
      <c r="G9" s="13" t="inlineStr">
        <is>
          <t>Option D</t>
        </is>
      </c>
      <c r="H9" s="13" t="inlineStr">
        <is>
          <t>Option E</t>
        </is>
      </c>
      <c r="I9" s="13" t="inlineStr">
        <is>
          <t>Your Answer (Select A-E)</t>
        </is>
      </c>
      <c r="J9" s="13" t="inlineStr">
        <is>
          <t>Real-Time Grade</t>
        </is>
      </c>
    </row>
    <row r="10">
      <c r="A10" s="14" t="n">
        <v>1</v>
      </c>
      <c r="B10" s="15" t="inlineStr">
        <is>
          <t>Cerebrovascular Diseases</t>
        </is>
      </c>
      <c r="C10" s="15" t="inlineStr">
        <is>
          <t>A 68-year-old male presents to the ED with sudden left-sided weakness and dysarthria onset 1 hour ago. Non-contrast head CT shows hyperdensity within the right middle cerebral artery lumen without hemorrhage. What does this 'hyperdense MCA sign' signify?</t>
        </is>
      </c>
      <c r="D10" s="16" t="inlineStr">
        <is>
          <t>A) Acute intraparenchymal hemorrhage</t>
        </is>
      </c>
      <c r="E10" s="16" t="inlineStr">
        <is>
          <t>B) Acute dense thromboembolism in the arterial lumen</t>
        </is>
      </c>
      <c r="F10" s="16" t="inlineStr">
        <is>
          <t>C) Chronic calcified atherosclerotic plaque</t>
        </is>
      </c>
      <c r="G10" s="16" t="inlineStr">
        <is>
          <t>D) Microvascular lacunar infarction</t>
        </is>
      </c>
      <c r="H10" s="16" t="inlineStr">
        <is>
          <t>E) Cerebral venous sinus thrombosis</t>
        </is>
      </c>
      <c r="I10" s="17" t="n"/>
      <c r="J10" s="18">
        <f>IF(ISBLANK(I10), "", IF(I10='Answer Key &amp; Explanations'!C6, "✅ Correct", "❌ Incorrect (See Key)"))</f>
        <v/>
      </c>
    </row>
    <row r="11">
      <c r="A11" s="19" t="n">
        <v>2</v>
      </c>
      <c r="B11" s="20" t="inlineStr">
        <is>
          <t>Cerebrovascular Diseases</t>
        </is>
      </c>
      <c r="C11" s="20" t="inlineStr">
        <is>
          <t>According to acute ischemic stroke guidelines, what is the strict time window from symptom onset for initiating intravenous recombinant tissue plasminogen activator (tPA / Alteplase) if there are no contraindications?</t>
        </is>
      </c>
      <c r="D11" s="21" t="inlineStr">
        <is>
          <t>A) Within 1.5 hours</t>
        </is>
      </c>
      <c r="E11" s="21" t="inlineStr">
        <is>
          <t>B) Within 3.0 to 4.5 hours</t>
        </is>
      </c>
      <c r="F11" s="21" t="inlineStr">
        <is>
          <t>C) Within 8.0 hours</t>
        </is>
      </c>
      <c r="G11" s="21" t="inlineStr">
        <is>
          <t>D) Within 12.0 hours</t>
        </is>
      </c>
      <c r="H11" s="21" t="inlineStr">
        <is>
          <t>E) Within 24.0 hours</t>
        </is>
      </c>
      <c r="I11" s="17" t="n"/>
      <c r="J11" s="18">
        <f>IF(ISBLANK(I11), "", IF(I11='Answer Key &amp; Explanations'!C7, "✅ Correct", "❌ Incorrect (See Key)"))</f>
        <v/>
      </c>
    </row>
    <row r="12">
      <c r="A12" s="14" t="n">
        <v>3</v>
      </c>
      <c r="B12" s="15" t="inlineStr">
        <is>
          <t>Cerebrovascular Diseases</t>
        </is>
      </c>
      <c r="C12" s="15" t="inlineStr">
        <is>
          <t>A 72-year-old right-handed female presents with sudden right facial droop, right arm weakness significantly greater than right leg weakness, and expressive (Broca's) aphasia. Which vascular territory is affected?</t>
        </is>
      </c>
      <c r="D12" s="16" t="inlineStr">
        <is>
          <t>A) Left Anterior Cerebral Artery (ACA)</t>
        </is>
      </c>
      <c r="E12" s="16" t="inlineStr">
        <is>
          <t>B) Left Middle Cerebral Artery (MCA) superior division</t>
        </is>
      </c>
      <c r="F12" s="16" t="inlineStr">
        <is>
          <t>C) Left Posterior Cerebral Artery (PCA)</t>
        </is>
      </c>
      <c r="G12" s="16" t="inlineStr">
        <is>
          <t>D) Left Posterior Inferior Cerebellar Artery (PICA)</t>
        </is>
      </c>
      <c r="H12" s="16" t="inlineStr">
        <is>
          <t>E) Basilar artery</t>
        </is>
      </c>
      <c r="I12" s="17" t="n"/>
      <c r="J12" s="18">
        <f>IF(ISBLANK(I12), "", IF(I12='Answer Key &amp; Explanations'!C8, "✅ Correct", "❌ Incorrect (See Key)"))</f>
        <v/>
      </c>
    </row>
    <row r="13">
      <c r="A13" s="19" t="n">
        <v>4</v>
      </c>
      <c r="B13" s="20" t="inlineStr">
        <is>
          <t>Cerebrovascular Diseases</t>
        </is>
      </c>
      <c r="C13" s="20" t="inlineStr">
        <is>
          <t>An ischemic stroke involving the Anterior Cerebral Artery (ACA) territory typically produces motor and sensory deficits predominantly in which anatomical region?</t>
        </is>
      </c>
      <c r="D13" s="21" t="inlineStr">
        <is>
          <t>A) Contralateral face and tongue</t>
        </is>
      </c>
      <c r="E13" s="21" t="inlineStr">
        <is>
          <t>B) Contralateral upper limb and hand</t>
        </is>
      </c>
      <c r="F13" s="21" t="inlineStr">
        <is>
          <t>C) Contralateral lower limb (leg and foot)</t>
        </is>
      </c>
      <c r="G13" s="21" t="inlineStr">
        <is>
          <t>D) Ipsilateral cranial nerves</t>
        </is>
      </c>
      <c r="H13" s="21" t="inlineStr">
        <is>
          <t>E) Bilateral upper extremities</t>
        </is>
      </c>
      <c r="I13" s="17" t="n"/>
      <c r="J13" s="18">
        <f>IF(ISBLANK(I13), "", IF(I13='Answer Key &amp; Explanations'!C9, "✅ Correct", "❌ Incorrect (See Key)"))</f>
        <v/>
      </c>
    </row>
    <row r="14">
      <c r="A14" s="14" t="n">
        <v>5</v>
      </c>
      <c r="B14" s="15" t="inlineStr">
        <is>
          <t>Cerebrovascular Diseases</t>
        </is>
      </c>
      <c r="C14" s="15" t="inlineStr">
        <is>
          <t>In a patient presenting with an acute spontaneous intracerebral hemorrhage (ICH) and systolic blood pressure of 190 mmHg, what is the recommended target systolic blood pressure for acute blood pressure lowering?</t>
        </is>
      </c>
      <c r="D14" s="16" t="inlineStr">
        <is>
          <t>A) Maintain SBP &gt; 180 mmHg to preserve penumbra</t>
        </is>
      </c>
      <c r="E14" s="16" t="inlineStr">
        <is>
          <t>B) Lower SBP to &lt; 140 mmHg smoothly</t>
        </is>
      </c>
      <c r="F14" s="16" t="inlineStr">
        <is>
          <t>C) Lower SBP rapidly to &lt; 100 mmHg</t>
        </is>
      </c>
      <c r="G14" s="16" t="inlineStr">
        <is>
          <t>D) SBP control is contraindicated in acute ICH</t>
        </is>
      </c>
      <c r="H14" s="16" t="inlineStr">
        <is>
          <t>E) Lower MAP by 50% immediately</t>
        </is>
      </c>
      <c r="I14" s="17" t="n"/>
      <c r="J14" s="18">
        <f>IF(ISBLANK(I14), "", IF(I14='Answer Key &amp; Explanations'!C10, "✅ Correct", "❌ Incorrect (See Key)"))</f>
        <v/>
      </c>
    </row>
    <row r="15">
      <c r="A15" s="19" t="n">
        <v>6</v>
      </c>
      <c r="B15" s="20" t="inlineStr">
        <is>
          <t>Cerebrovascular Diseases</t>
        </is>
      </c>
      <c r="C15" s="20" t="inlineStr">
        <is>
          <t>A 45-year-old male presents with sudden onset 'worst headache of my life' (thunderclap headache) 12 hours ago. Non-contrast head CT is completely normal. What is the most appropriate next diagnostic step?</t>
        </is>
      </c>
      <c r="D15" s="21" t="inlineStr">
        <is>
          <t>A) Discharge home with NSAIDs</t>
        </is>
      </c>
      <c r="E15" s="21" t="inlineStr">
        <is>
          <t>B) Lumbar puncture to assess for CSF xanthochromia</t>
        </is>
      </c>
      <c r="F15" s="21" t="inlineStr">
        <is>
          <t>C) Electroencephalogram (EEG)</t>
        </is>
      </c>
      <c r="G15" s="21" t="inlineStr">
        <is>
          <t>D) Repeat CT head in 24 hours</t>
        </is>
      </c>
      <c r="H15" s="21" t="inlineStr">
        <is>
          <t>E) Temporal artery biopsy</t>
        </is>
      </c>
      <c r="I15" s="17" t="n"/>
      <c r="J15" s="18">
        <f>IF(ISBLANK(I15), "", IF(I15='Answer Key &amp; Explanations'!C11, "✅ Correct", "❌ Incorrect (See Key)"))</f>
        <v/>
      </c>
    </row>
    <row r="16">
      <c r="A16" s="14" t="n">
        <v>7</v>
      </c>
      <c r="B16" s="15" t="inlineStr">
        <is>
          <t>Cerebrovascular Diseases</t>
        </is>
      </c>
      <c r="C16" s="15" t="inlineStr">
        <is>
          <t>Which medication is routinely administered to patients following a subarachnoid hemorrhage (SAH) to prevent delayed cerebral ischemia caused by arterial vasospasm?</t>
        </is>
      </c>
      <c r="D16" s="16" t="inlineStr">
        <is>
          <t>A) Intravenous Heparin</t>
        </is>
      </c>
      <c r="E16" s="16" t="inlineStr">
        <is>
          <t>B) Oral Nimodipine</t>
        </is>
      </c>
      <c r="F16" s="16" t="inlineStr">
        <is>
          <t>C) Intravenous Mannitol</t>
        </is>
      </c>
      <c r="G16" s="16" t="inlineStr">
        <is>
          <t>D) Subcutaneous Enoxaparin</t>
        </is>
      </c>
      <c r="H16" s="16" t="inlineStr">
        <is>
          <t>E) Oral Acetazolamide</t>
        </is>
      </c>
      <c r="I16" s="17" t="n"/>
      <c r="J16" s="18">
        <f>IF(ISBLANK(I16), "", IF(I16='Answer Key &amp; Explanations'!C12, "✅ Correct", "❌ Incorrect (See Key)"))</f>
        <v/>
      </c>
    </row>
    <row r="17">
      <c r="A17" s="19" t="n">
        <v>8</v>
      </c>
      <c r="B17" s="20" t="inlineStr">
        <is>
          <t>Epilepsy &amp; Seizures</t>
        </is>
      </c>
      <c r="C17" s="20" t="inlineStr">
        <is>
          <t>Convulsive Status Epilepticus is clinically defined as continuous generalized tonic-clonic seizure activity lasting at least how many minutes without interim recovery of consciousness?</t>
        </is>
      </c>
      <c r="D17" s="21" t="inlineStr">
        <is>
          <t>A) 2 minutes</t>
        </is>
      </c>
      <c r="E17" s="21" t="inlineStr">
        <is>
          <t>B) 5 minutes</t>
        </is>
      </c>
      <c r="F17" s="21" t="inlineStr">
        <is>
          <t>C) 15 minutes</t>
        </is>
      </c>
      <c r="G17" s="21" t="inlineStr">
        <is>
          <t>D) 30 minutes</t>
        </is>
      </c>
      <c r="H17" s="21" t="inlineStr">
        <is>
          <t>E) 60 minutes</t>
        </is>
      </c>
      <c r="I17" s="17" t="n"/>
      <c r="J17" s="18">
        <f>IF(ISBLANK(I17), "", IF(I17='Answer Key &amp; Explanations'!C13, "✅ Correct", "❌ Incorrect (See Key)"))</f>
        <v/>
      </c>
    </row>
    <row r="18">
      <c r="A18" s="14" t="n">
        <v>9</v>
      </c>
      <c r="B18" s="15" t="inlineStr">
        <is>
          <t>Epilepsy &amp; Seizures</t>
        </is>
      </c>
      <c r="C18" s="15" t="inlineStr">
        <is>
          <t>What is the immediate first-line pharmacological treatment of choice for acute status epilepticus in the pre-hospital or emergency room setting?</t>
        </is>
      </c>
      <c r="D18" s="16" t="inlineStr">
        <is>
          <t>A) IV Phenytoin infusion</t>
        </is>
      </c>
      <c r="E18" s="16" t="inlineStr">
        <is>
          <t>B) IV Lorazepam or IM Midazolam</t>
        </is>
      </c>
      <c r="F18" s="16" t="inlineStr">
        <is>
          <t>C) IV Levetiracetam</t>
        </is>
      </c>
      <c r="G18" s="16" t="inlineStr">
        <is>
          <t>D) Oral Carbamazepine</t>
        </is>
      </c>
      <c r="H18" s="16" t="inlineStr">
        <is>
          <t>E) Continuous Propofol drip</t>
        </is>
      </c>
      <c r="I18" s="17" t="n"/>
      <c r="J18" s="18">
        <f>IF(ISBLANK(I18), "", IF(I18='Answer Key &amp; Explanations'!C14, "✅ Correct", "❌ Incorrect (See Key)"))</f>
        <v/>
      </c>
    </row>
    <row r="19">
      <c r="A19" s="19" t="n">
        <v>10</v>
      </c>
      <c r="B19" s="20" t="inlineStr">
        <is>
          <t>Epilepsy &amp; Seizures</t>
        </is>
      </c>
      <c r="C19" s="20" t="inlineStr">
        <is>
          <t>If status epilepticus persists 10 to 20 minutes after adequate administration of a first-line benzodiazepine, which second-line intravenous agent is recommended?</t>
        </is>
      </c>
      <c r="D19" s="21" t="inlineStr">
        <is>
          <t>A) Repeat Benzodiazepine dose indefinitely</t>
        </is>
      </c>
      <c r="E19" s="21" t="inlineStr">
        <is>
          <t>B) IV Levetiracetam, Fosphenytoin/Phenytoin, or Valproate</t>
        </is>
      </c>
      <c r="F19" s="21" t="inlineStr">
        <is>
          <t>C) Oral Ethosuximide</t>
        </is>
      </c>
      <c r="G19" s="21" t="inlineStr">
        <is>
          <t>D) IV Haloperidol</t>
        </is>
      </c>
      <c r="H19" s="21" t="inlineStr">
        <is>
          <t>E) Subcutaneous Morphine</t>
        </is>
      </c>
      <c r="I19" s="17" t="n"/>
      <c r="J19" s="18">
        <f>IF(ISBLANK(I19), "", IF(I19='Answer Key &amp; Explanations'!C15, "✅ Correct", "❌ Incorrect (See Key)"))</f>
        <v/>
      </c>
    </row>
    <row r="20">
      <c r="A20" s="14" t="n">
        <v>11</v>
      </c>
      <c r="B20" s="15" t="inlineStr">
        <is>
          <t>Epilepsy &amp; Seizures</t>
        </is>
      </c>
      <c r="C20" s="15" t="inlineStr">
        <is>
          <t>What is the maximum safe rate of intravenous Phenytoin administration in an adult to prevent severe hypotension and cardiac dysrhythmias?</t>
        </is>
      </c>
      <c r="D20" s="16" t="inlineStr">
        <is>
          <t>A) 10 mg/minute</t>
        </is>
      </c>
      <c r="E20" s="16" t="inlineStr">
        <is>
          <t>B) 50 mg/minute in Normal Saline</t>
        </is>
      </c>
      <c r="F20" s="16" t="inlineStr">
        <is>
          <t>C) 100 mg/minute in 5% Dextrose</t>
        </is>
      </c>
      <c r="G20" s="16" t="inlineStr">
        <is>
          <t>D) 200 mg/minute rapid bolus</t>
        </is>
      </c>
      <c r="H20" s="16" t="inlineStr">
        <is>
          <t>E) Phenytoin can only be given IM</t>
        </is>
      </c>
      <c r="I20" s="17" t="n"/>
      <c r="J20" s="18">
        <f>IF(ISBLANK(I20), "", IF(I20='Answer Key &amp; Explanations'!C16, "✅ Correct", "❌ Incorrect (See Key)"))</f>
        <v/>
      </c>
    </row>
    <row r="21">
      <c r="A21" s="19" t="n">
        <v>12</v>
      </c>
      <c r="B21" s="20" t="inlineStr">
        <is>
          <t>CNS Infections</t>
        </is>
      </c>
      <c r="C21" s="20" t="inlineStr">
        <is>
          <t>A 24-year-old college student presents with high fever, severe headache, photophobia, and neck stiffness. What is the classic clinical triad of acute bacterial meningitis?</t>
        </is>
      </c>
      <c r="D21" s="21" t="inlineStr">
        <is>
          <t>A) Fever, jaundice, and right upper quadrant pain</t>
        </is>
      </c>
      <c r="E21" s="21" t="inlineStr">
        <is>
          <t>B) Fever, nuchal rigidity, and altered mental status</t>
        </is>
      </c>
      <c r="F21" s="21" t="inlineStr">
        <is>
          <t>C) Headache, papilledema, and focal neurological deficit</t>
        </is>
      </c>
      <c r="G21" s="21" t="inlineStr">
        <is>
          <t>D) Tremor, rigidity, and bradykinesia</t>
        </is>
      </c>
      <c r="H21" s="21" t="inlineStr">
        <is>
          <t>E) Confusion, ataxia, and ophthalmoplegia</t>
        </is>
      </c>
      <c r="I21" s="17" t="n"/>
      <c r="J21" s="18">
        <f>IF(ISBLANK(I21), "", IF(I21='Answer Key &amp; Explanations'!C17, "✅ Correct", "❌ Incorrect (See Key)"))</f>
        <v/>
      </c>
    </row>
    <row r="22">
      <c r="A22" s="14" t="n">
        <v>13</v>
      </c>
      <c r="B22" s="15" t="inlineStr">
        <is>
          <t>CNS Infections</t>
        </is>
      </c>
      <c r="C22" s="15" t="inlineStr">
        <is>
          <t>Which lumbar puncture CSF profile is most characteristic of acute bacterial meningitis?</t>
        </is>
      </c>
      <c r="D22" s="16" t="inlineStr">
        <is>
          <t>A) Normal opening pressure, lymphocytic 20/uL, normal glucose, normal protein</t>
        </is>
      </c>
      <c r="E22" s="16" t="inlineStr">
        <is>
          <t>B) High opening pressure, neutrophilic &gt;1000/uL, low glucose (&lt;40% serum), high protein (&gt;100 mg/dL)</t>
        </is>
      </c>
      <c r="F22" s="16" t="inlineStr">
        <is>
          <t>C) High opening pressure, lymphocytic 100/uL, normal glucose, normal protein</t>
        </is>
      </c>
      <c r="G22" s="16" t="inlineStr">
        <is>
          <t>D) Normal opening pressure, RBC 50000/uL, xanthochromia</t>
        </is>
      </c>
      <c r="H22" s="16" t="inlineStr">
        <is>
          <t>E) High opening pressure, no WBCs, normal glucose, normal protein</t>
        </is>
      </c>
      <c r="I22" s="17" t="n"/>
      <c r="J22" s="18">
        <f>IF(ISBLANK(I22), "", IF(I22='Answer Key &amp; Explanations'!C18, "✅ Correct", "❌ Incorrect (See Key)"))</f>
        <v/>
      </c>
    </row>
    <row r="23">
      <c r="A23" s="19" t="n">
        <v>14</v>
      </c>
      <c r="B23" s="20" t="inlineStr">
        <is>
          <t>CNS Infections</t>
        </is>
      </c>
      <c r="C23" s="20" t="inlineStr">
        <is>
          <t>Before performing a lumbar puncture in a patient suspected of having bacterial meningitis, which clinical feature mandates performing an immediate NCCT Head first?</t>
        </is>
      </c>
      <c r="D23" s="21" t="inlineStr">
        <is>
          <t>A) History of fever for 2 hours</t>
        </is>
      </c>
      <c r="E23" s="21" t="inlineStr">
        <is>
          <t>B) Papilledema or new focal neurological deficit</t>
        </is>
      </c>
      <c r="F23" s="21" t="inlineStr">
        <is>
          <t>C) Presence of Kernig sign</t>
        </is>
      </c>
      <c r="G23" s="21" t="inlineStr">
        <is>
          <t>D) Age under 30 years</t>
        </is>
      </c>
      <c r="H23" s="21" t="inlineStr">
        <is>
          <t>E) Mild headache without confusion</t>
        </is>
      </c>
      <c r="I23" s="17" t="n"/>
      <c r="J23" s="18">
        <f>IF(ISBLANK(I23), "", IF(I23='Answer Key &amp; Explanations'!C19, "✅ Correct", "❌ Incorrect (See Key)"))</f>
        <v/>
      </c>
    </row>
    <row r="24">
      <c r="A24" s="14" t="n">
        <v>15</v>
      </c>
      <c r="B24" s="15" t="inlineStr">
        <is>
          <t>CNS Infections</t>
        </is>
      </c>
      <c r="C24" s="15" t="inlineStr">
        <is>
          <t>A 62-year-old male presents with acute bacterial meningitis. What is the recommended empiric intravenous antibiotic regimen according to clinical guidelines?</t>
        </is>
      </c>
      <c r="D24" s="16" t="inlineStr">
        <is>
          <t>A) Oral Amoxicillin alone</t>
        </is>
      </c>
      <c r="E24" s="16" t="inlineStr">
        <is>
          <t>B) IV Ceftriaxone + IV Vancomycin + IV Ampicillin</t>
        </is>
      </c>
      <c r="F24" s="16" t="inlineStr">
        <is>
          <t>C) IV Gentamicin + IV Metronidazole</t>
        </is>
      </c>
      <c r="G24" s="16" t="inlineStr">
        <is>
          <t>D) IV Acyclovir + IV Fluconazole</t>
        </is>
      </c>
      <c r="H24" s="16" t="inlineStr">
        <is>
          <t>E) IV Ciprofloxacin alone</t>
        </is>
      </c>
      <c r="I24" s="17" t="n"/>
      <c r="J24" s="18">
        <f>IF(ISBLANK(I24), "", IF(I24='Answer Key &amp; Explanations'!C20, "✅ Correct", "❌ Incorrect (See Key)"))</f>
        <v/>
      </c>
    </row>
    <row r="25">
      <c r="A25" s="19" t="n">
        <v>16</v>
      </c>
      <c r="B25" s="20" t="inlineStr">
        <is>
          <t>CNS Infections</t>
        </is>
      </c>
      <c r="C25" s="20" t="inlineStr">
        <is>
          <t>A 35-year-old female presents with fever, temporal lobe seizures, expressive dysphasia, and olfactory hallucinations. CSF shows lymphocytic pleocytosis. What is the most urgent antiviral therapy?</t>
        </is>
      </c>
      <c r="D25" s="21" t="inlineStr">
        <is>
          <t>A) Oral Oseltamivir</t>
        </is>
      </c>
      <c r="E25" s="21" t="inlineStr">
        <is>
          <t>B) Intravenous Acyclovir (10 mg/kg q8h)</t>
        </is>
      </c>
      <c r="F25" s="21" t="inlineStr">
        <is>
          <t>C) Intravenous Ganciclovir</t>
        </is>
      </c>
      <c r="G25" s="21" t="inlineStr">
        <is>
          <t>D) Oral Ribavirin</t>
        </is>
      </c>
      <c r="H25" s="21" t="inlineStr">
        <is>
          <t>E) Intravenous Fluconazole</t>
        </is>
      </c>
      <c r="I25" s="17" t="n"/>
      <c r="J25" s="18">
        <f>IF(ISBLANK(I25), "", IF(I25='Answer Key &amp; Explanations'!C21, "✅ Correct", "❌ Incorrect (See Key)"))</f>
        <v/>
      </c>
    </row>
    <row r="26">
      <c r="A26" s="14" t="n">
        <v>17</v>
      </c>
      <c r="B26" s="15" t="inlineStr">
        <is>
          <t>Peripheral Neuromuscular Disorders</t>
        </is>
      </c>
      <c r="C26" s="15" t="inlineStr">
        <is>
          <t>A 28-year-old male presents with 4 days of progressive, symmetrical weakness starting in both legs and ascending to his hands, following a diarrheal illness 2 weeks ago. Reflexes are absent. What is the diagnosis?</t>
        </is>
      </c>
      <c r="D26" s="16" t="inlineStr">
        <is>
          <t>A) Myasthenia Gravis</t>
        </is>
      </c>
      <c r="E26" s="16" t="inlineStr">
        <is>
          <t>B) Guillain-Barré Syndrome (GBS)</t>
        </is>
      </c>
      <c r="F26" s="16" t="inlineStr">
        <is>
          <t>C) Multiple Sclerosis</t>
        </is>
      </c>
      <c r="G26" s="16" t="inlineStr">
        <is>
          <t>D) Amyotrophic Lateral Sclerosis</t>
        </is>
      </c>
      <c r="H26" s="16" t="inlineStr">
        <is>
          <t>E) Acute Anterior Poliomyelitis</t>
        </is>
      </c>
      <c r="I26" s="17" t="n"/>
      <c r="J26" s="18">
        <f>IF(ISBLANK(I26), "", IF(I26='Answer Key &amp; Explanations'!C22, "✅ Correct", "❌ Incorrect (See Key)"))</f>
        <v/>
      </c>
    </row>
    <row r="27">
      <c r="A27" s="19" t="n">
        <v>18</v>
      </c>
      <c r="B27" s="20" t="inlineStr">
        <is>
          <t>Peripheral Neuromuscular Disorders</t>
        </is>
      </c>
      <c r="C27" s="20" t="inlineStr">
        <is>
          <t>What is the characteristic CSF finding in Guillain-Barré Syndrome known as 'albuminocytological dissociation'?</t>
        </is>
      </c>
      <c r="D27" s="21" t="inlineStr">
        <is>
          <t>A) Markedly elevated CSF protein with normal CSF white blood cell count</t>
        </is>
      </c>
      <c r="E27" s="21" t="inlineStr">
        <is>
          <t>B) High CSF WBC count with normal CSF protein</t>
        </is>
      </c>
      <c r="F27" s="21" t="inlineStr">
        <is>
          <t>C) Low CSF glucose with high CSF neutrophils</t>
        </is>
      </c>
      <c r="G27" s="21" t="inlineStr">
        <is>
          <t>D) Oligoclonal bands on electrophoresis with normal protein</t>
        </is>
      </c>
      <c r="H27" s="21" t="inlineStr">
        <is>
          <t>E) Presence of xanthochromia and RBCs</t>
        </is>
      </c>
      <c r="I27" s="17" t="n"/>
      <c r="J27" s="18">
        <f>IF(ISBLANK(I27), "", IF(I27='Answer Key &amp; Explanations'!C23, "✅ Correct", "❌ Incorrect (See Key)"))</f>
        <v/>
      </c>
    </row>
    <row r="28">
      <c r="A28" s="14" t="n">
        <v>19</v>
      </c>
      <c r="B28" s="15" t="inlineStr">
        <is>
          <t>Peripheral Neuromuscular Disorders</t>
        </is>
      </c>
      <c r="C28" s="15" t="inlineStr">
        <is>
          <t>Which treatment is proven first-line disease-modifying therapy for Guillain-Barré Syndrome?</t>
        </is>
      </c>
      <c r="D28" s="16" t="inlineStr">
        <is>
          <t>A) High-dose oral Prednisolone</t>
        </is>
      </c>
      <c r="E28" s="16" t="inlineStr">
        <is>
          <t>B) Intravenous Immunoglobulin (IVIG) or Plasma Exchange</t>
        </is>
      </c>
      <c r="F28" s="16" t="inlineStr">
        <is>
          <t>C) Intravenous Interferon-beta</t>
        </is>
      </c>
      <c r="G28" s="16" t="inlineStr">
        <is>
          <t>D) Oral Pyridostigmine</t>
        </is>
      </c>
      <c r="H28" s="16" t="inlineStr">
        <is>
          <t>E) Intravenous Cyclophosphamide</t>
        </is>
      </c>
      <c r="I28" s="17" t="n"/>
      <c r="J28" s="18">
        <f>IF(ISBLANK(I28), "", IF(I28='Answer Key &amp; Explanations'!C24, "✅ Correct", "❌ Incorrect (See Key)"))</f>
        <v/>
      </c>
    </row>
    <row r="29">
      <c r="A29" s="19" t="n">
        <v>20</v>
      </c>
      <c r="B29" s="20" t="inlineStr">
        <is>
          <t>Peripheral Neuromuscular Disorders</t>
        </is>
      </c>
      <c r="C29" s="20" t="inlineStr">
        <is>
          <t>Which drug class has been conclusively proven to be INEFFECTIVE and is NOT recommended in Guillain-Barré Syndrome?</t>
        </is>
      </c>
      <c r="D29" s="21" t="inlineStr">
        <is>
          <t>A) Intravenous Immunoglobulin</t>
        </is>
      </c>
      <c r="E29" s="21" t="inlineStr">
        <is>
          <t>B) Corticosteroids (e.g. IV Methylprednisolone)</t>
        </is>
      </c>
      <c r="F29" s="21" t="inlineStr">
        <is>
          <t>C) Subcutaneous Low Molecular Weight Heparin</t>
        </is>
      </c>
      <c r="G29" s="21" t="inlineStr">
        <is>
          <t>D) Analgesics for neuropathic pain</t>
        </is>
      </c>
      <c r="H29" s="21" t="inlineStr">
        <is>
          <t>E) Stool softeners</t>
        </is>
      </c>
      <c r="I29" s="17" t="n"/>
      <c r="J29" s="18">
        <f>IF(ISBLANK(I29), "", IF(I29='Answer Key &amp; Explanations'!C25, "✅ Correct", "❌ Incorrect (See Key)"))</f>
        <v/>
      </c>
    </row>
    <row r="30">
      <c r="A30" s="14" t="n">
        <v>21</v>
      </c>
      <c r="B30" s="15" t="inlineStr">
        <is>
          <t>Coma &amp; Altered Consciousness</t>
        </is>
      </c>
      <c r="C30" s="15" t="inlineStr">
        <is>
          <t>A comatose patient evaluated with the Glasgow Coma Scale (GCS) shows Eye opening to pain (2), Incomprehensible sounds (2), and Decerebrate extension to pain (2). Total GCS = 6. What immediate airway management is indicated?</t>
        </is>
      </c>
      <c r="D30" s="16" t="inlineStr">
        <is>
          <t>A) Nasal cannula oxygen at 2 L/min</t>
        </is>
      </c>
      <c r="E30" s="16" t="inlineStr">
        <is>
          <t>B) Immediate endotracheal intubation for airway protection</t>
        </is>
      </c>
      <c r="F30" s="16" t="inlineStr">
        <is>
          <t>C) Non-invasive BiPAP mask</t>
        </is>
      </c>
      <c r="G30" s="16" t="inlineStr">
        <is>
          <t>D) Observation in general ward</t>
        </is>
      </c>
      <c r="H30" s="16" t="inlineStr">
        <is>
          <t>E) Insertion of nasogastric tube only</t>
        </is>
      </c>
      <c r="I30" s="17" t="n"/>
      <c r="J30" s="18">
        <f>IF(ISBLANK(I30), "", IF(I30='Answer Key &amp; Explanations'!C26, "✅ Correct", "❌ Incorrect (See Key)"))</f>
        <v/>
      </c>
    </row>
    <row r="31">
      <c r="A31" s="19" t="n">
        <v>22</v>
      </c>
      <c r="B31" s="20" t="inlineStr">
        <is>
          <t>Coma &amp; Altered Consciousness</t>
        </is>
      </c>
      <c r="C31" s="20" t="inlineStr">
        <is>
          <t>In an unconscious patient brought to the ED, which rapid bedside test must be performed immediately alongside ABC stabilization to rule out a reversible metabolic cause?</t>
        </is>
      </c>
      <c r="D31" s="21" t="inlineStr">
        <is>
          <t>A) Lumbar puncture</t>
        </is>
      </c>
      <c r="E31" s="21" t="inlineStr">
        <is>
          <t>B) Bedside fingerstick blood glucose</t>
        </is>
      </c>
      <c r="F31" s="21" t="inlineStr">
        <is>
          <t>C) Serum Vitamin B12 level</t>
        </is>
      </c>
      <c r="G31" s="21" t="inlineStr">
        <is>
          <t>D) Brain MRI with contrast</t>
        </is>
      </c>
      <c r="H31" s="21" t="inlineStr">
        <is>
          <t>E) Urine heavy metal screen</t>
        </is>
      </c>
      <c r="I31" s="17" t="n"/>
      <c r="J31" s="18">
        <f>IF(ISBLANK(I31), "", IF(I31='Answer Key &amp; Explanations'!C27, "✅ Correct", "❌ Incorrect (See Key)"))</f>
        <v/>
      </c>
    </row>
    <row r="32">
      <c r="A32" s="14" t="n">
        <v>23</v>
      </c>
      <c r="B32" s="15" t="inlineStr">
        <is>
          <t>Cognitive Disorders</t>
        </is>
      </c>
      <c r="C32" s="15" t="inlineStr">
        <is>
          <t>Which core clinical feature distinguishes acute Delirium (Acute Confusional State) from underlying Dementia?</t>
        </is>
      </c>
      <c r="D32" s="16" t="inlineStr">
        <is>
          <t>A) Impairment of long-term memory</t>
        </is>
      </c>
      <c r="E32" s="16" t="inlineStr">
        <is>
          <t>B) Acute onset with fluctuating course and prominent inattention</t>
        </is>
      </c>
      <c r="F32" s="16" t="inlineStr">
        <is>
          <t>C) Absence of underlying physical illness</t>
        </is>
      </c>
      <c r="G32" s="16" t="inlineStr">
        <is>
          <t>D) Irreversible progressive cognitive decline over years</t>
        </is>
      </c>
      <c r="H32" s="16" t="inlineStr">
        <is>
          <t>E) Normal attention and orientation</t>
        </is>
      </c>
      <c r="I32" s="17" t="n"/>
      <c r="J32" s="18">
        <f>IF(ISBLANK(I32), "", IF(I32='Answer Key &amp; Explanations'!C28, "✅ Correct", "❌ Incorrect (See Key)"))</f>
        <v/>
      </c>
    </row>
    <row r="33">
      <c r="A33" s="19" t="n">
        <v>24</v>
      </c>
      <c r="B33" s="20" t="inlineStr">
        <is>
          <t>Metabolic Encephalopathy</t>
        </is>
      </c>
      <c r="C33" s="20" t="inlineStr">
        <is>
          <t>A chronic alcoholic male presents with confusion, ataxia, and ophthalmoplegia (nystagmus/abducens palsy). Which parenteral therapy must be administered BEFORE giving intravenous dextrose?</t>
        </is>
      </c>
      <c r="D33" s="21" t="inlineStr">
        <is>
          <t>A) IV Furosemide</t>
        </is>
      </c>
      <c r="E33" s="21" t="inlineStr">
        <is>
          <t>B) IV Thiamine (Vitamin B1)</t>
        </is>
      </c>
      <c r="F33" s="21" t="inlineStr">
        <is>
          <t>C) IV Sodium Bicarbonate</t>
        </is>
      </c>
      <c r="G33" s="21" t="inlineStr">
        <is>
          <t>D) IV Haloperidol</t>
        </is>
      </c>
      <c r="H33" s="21" t="inlineStr">
        <is>
          <t>E) IV Phenobarbital</t>
        </is>
      </c>
      <c r="I33" s="17" t="n"/>
      <c r="J33" s="18">
        <f>IF(ISBLANK(I33), "", IF(I33='Answer Key &amp; Explanations'!C29, "✅ Correct", "❌ Incorrect (See Key)"))</f>
        <v/>
      </c>
    </row>
    <row r="34">
      <c r="A34" s="14" t="n">
        <v>25</v>
      </c>
      <c r="B34" s="15" t="inlineStr">
        <is>
          <t>Toxicology &amp; Overdose</t>
        </is>
      </c>
      <c r="C34" s="15" t="inlineStr">
        <is>
          <t>A 22-year-old male is found unresponsive with a respiratory rate of 5 breaths/minute, cyanosis, and pinpoint pupils (miosis). What is the immediate specific antidote?</t>
        </is>
      </c>
      <c r="D34" s="16" t="inlineStr">
        <is>
          <t>A) IV Flumazenil</t>
        </is>
      </c>
      <c r="E34" s="16" t="inlineStr">
        <is>
          <t>B) IV Naloxone</t>
        </is>
      </c>
      <c r="F34" s="16" t="inlineStr">
        <is>
          <t>C) IV Atropine</t>
        </is>
      </c>
      <c r="G34" s="16" t="inlineStr">
        <is>
          <t>D) IV N-Acetylcysteine</t>
        </is>
      </c>
      <c r="H34" s="16" t="inlineStr">
        <is>
          <t>E) IV Pralidoxime</t>
        </is>
      </c>
      <c r="I34" s="17" t="n"/>
      <c r="J34" s="18">
        <f>IF(ISBLANK(I34), "", IF(I34='Answer Key &amp; Explanations'!C30, "✅ Correct", "❌ Incorrect (See Key)"))</f>
        <v/>
      </c>
    </row>
    <row r="35">
      <c r="A35" s="19" t="n">
        <v>26</v>
      </c>
      <c r="B35" s="20" t="inlineStr">
        <is>
          <t>Toxicology &amp; Overdose</t>
        </is>
      </c>
      <c r="C35" s="20" t="inlineStr">
        <is>
          <t>A farmer presents with excessive salivation, lacrimation, urination, defecation, vomiting, severe bronchorrhea, and bradycardia (DUMBBELSS toxidrome). What is the primary antidote to reverse bronchorrhea?</t>
        </is>
      </c>
      <c r="D35" s="21" t="inlineStr">
        <is>
          <t>A) Intravenous Atropine (titrated until lung secretions dry)</t>
        </is>
      </c>
      <c r="E35" s="21" t="inlineStr">
        <is>
          <t>B) Intravenous Naloxone</t>
        </is>
      </c>
      <c r="F35" s="21" t="inlineStr">
        <is>
          <t>C) Intravenous Flumazenil</t>
        </is>
      </c>
      <c r="G35" s="21" t="inlineStr">
        <is>
          <t>D) Intravenous Physostigmine</t>
        </is>
      </c>
      <c r="H35" s="21" t="inlineStr">
        <is>
          <t>E) Oral Activated Charcoal alone</t>
        </is>
      </c>
      <c r="I35" s="17" t="n"/>
      <c r="J35" s="18">
        <f>IF(ISBLANK(I35), "", IF(I35='Answer Key &amp; Explanations'!C31, "✅ Correct", "❌ Incorrect (See Key)"))</f>
        <v/>
      </c>
    </row>
    <row r="36">
      <c r="A36" s="14" t="n">
        <v>27</v>
      </c>
      <c r="B36" s="15" t="inlineStr">
        <is>
          <t>Headache &amp; Facial Pain</t>
        </is>
      </c>
      <c r="C36" s="15" t="inlineStr">
        <is>
          <t>A 75-year-old female presents with a new severe left-sided headache, jaw fatigue while chewing (jaw claudication), and scalp tenderness. ESR is 95 mm/hr. What is the immediate treatment to prevent permanent blindness?</t>
        </is>
      </c>
      <c r="D36" s="16" t="inlineStr">
        <is>
          <t>A) Oral Paracetamol</t>
        </is>
      </c>
      <c r="E36" s="16" t="inlineStr">
        <is>
          <t>B) High-dose Systemic Corticosteroids (e.g. Oral Prednisolone 60 mg) immediately</t>
        </is>
      </c>
      <c r="F36" s="16" t="inlineStr">
        <is>
          <t>C) Wait for temporal artery biopsy result before starting treatment</t>
        </is>
      </c>
      <c r="G36" s="16" t="inlineStr">
        <is>
          <t>D) Subcutaneous Sumatriptan</t>
        </is>
      </c>
      <c r="H36" s="16" t="inlineStr">
        <is>
          <t>E) Oral Methysergide</t>
        </is>
      </c>
      <c r="I36" s="17" t="n"/>
      <c r="J36" s="18">
        <f>IF(ISBLANK(I36), "", IF(I36='Answer Key &amp; Explanations'!C32, "✅ Correct", "❌ Incorrect (See Key)"))</f>
        <v/>
      </c>
    </row>
    <row r="37">
      <c r="A37" s="19" t="n">
        <v>28</v>
      </c>
      <c r="B37" s="20" t="inlineStr">
        <is>
          <t>Headache &amp; Facial Pain</t>
        </is>
      </c>
      <c r="C37" s="20" t="inlineStr">
        <is>
          <t>A 32-year-old male presents with excruciating unilateral strictly periorbital pain lasting 45 minutes, accompanied by ipsilateral lacrimation, nasal congestion, and miosis. What is the first-line acute treatment?</t>
        </is>
      </c>
      <c r="D37" s="21" t="inlineStr">
        <is>
          <t>A) Oral Paracetamol and Rest</t>
        </is>
      </c>
      <c r="E37" s="21" t="inlineStr">
        <is>
          <t>B) 100% High-flow Oxygen via non-rebreather mask (12-15 L/min)</t>
        </is>
      </c>
      <c r="F37" s="21" t="inlineStr">
        <is>
          <t>C) Oral Propranolol</t>
        </is>
      </c>
      <c r="G37" s="21" t="inlineStr">
        <is>
          <t>D) Intravenous Morphine</t>
        </is>
      </c>
      <c r="H37" s="21" t="inlineStr">
        <is>
          <t>E) Lumbar puncture</t>
        </is>
      </c>
      <c r="I37" s="17" t="n"/>
      <c r="J37" s="18">
        <f>IF(ISBLANK(I37), "", IF(I37='Answer Key &amp; Explanations'!C33, "✅ Correct", "❌ Incorrect (See Key)"))</f>
        <v/>
      </c>
    </row>
    <row r="38">
      <c r="A38" s="14" t="n">
        <v>29</v>
      </c>
      <c r="B38" s="15" t="inlineStr">
        <is>
          <t>Spinal Cord Disorders</t>
        </is>
      </c>
      <c r="C38" s="15" t="inlineStr">
        <is>
          <t>A 65-year-old male with metastatic prostate cancer presents with 2 days of progressive bilateral lower limb weakness, a sensory level at T10, and urinary retention. What immediate medication should be given prior to urgent MRI?</t>
        </is>
      </c>
      <c r="D38" s="16" t="inlineStr">
        <is>
          <t>A) High-dose Intravenous Dexamethasone (10-16 mg stat)</t>
        </is>
      </c>
      <c r="E38" s="16" t="inlineStr">
        <is>
          <t>B) Intravenous Furosemide</t>
        </is>
      </c>
      <c r="F38" s="16" t="inlineStr">
        <is>
          <t>C) Oral Baclofen</t>
        </is>
      </c>
      <c r="G38" s="16" t="inlineStr">
        <is>
          <t>D) Intravenous Vancomycin</t>
        </is>
      </c>
      <c r="H38" s="16" t="inlineStr">
        <is>
          <t>E) Subcutaneous Heparin alone</t>
        </is>
      </c>
      <c r="I38" s="17" t="n"/>
      <c r="J38" s="18">
        <f>IF(ISBLANK(I38), "", IF(I38='Answer Key &amp; Explanations'!C34, "✅ Correct", "❌ Incorrect (See Key)"))</f>
        <v/>
      </c>
    </row>
    <row r="39">
      <c r="A39" s="19" t="n">
        <v>30</v>
      </c>
      <c r="B39" s="20" t="inlineStr">
        <is>
          <t>Brain Death &amp; Reflexes</t>
        </is>
      </c>
      <c r="C39" s="20" t="inlineStr">
        <is>
          <t>During a formal brainstem death assessment, which cranial nerve reflex test involves irrigating the external auditory canal with ice-cold water to evaluate brainstem vestibulo-ocular pathways?</t>
        </is>
      </c>
      <c r="D39" s="21" t="inlineStr">
        <is>
          <t>A) Corneal reflex test</t>
        </is>
      </c>
      <c r="E39" s="21" t="inlineStr">
        <is>
          <t>B) Caloric oculovestibular test</t>
        </is>
      </c>
      <c r="F39" s="21" t="inlineStr">
        <is>
          <t>C) Gag and cough reflex test</t>
        </is>
      </c>
      <c r="G39" s="21" t="inlineStr">
        <is>
          <t>D) Pupillary light reflex test</t>
        </is>
      </c>
      <c r="H39" s="21" t="inlineStr">
        <is>
          <t>E) Apnea challenge test</t>
        </is>
      </c>
      <c r="I39" s="17" t="n"/>
      <c r="J39" s="18">
        <f>IF(ISBLANK(I39), "", IF(I39='Answer Key &amp; Explanations'!C35, "✅ Correct", "❌ Incorrect (See Key)"))</f>
        <v/>
      </c>
    </row>
  </sheetData>
  <mergeCells count="1">
    <mergeCell ref="B4:D4"/>
  </mergeCells>
  <dataValidations count="1">
    <dataValidation sqref="I10:I39" showDropDown="0" showInputMessage="0" showErrorMessage="0" allowBlank="1" type="list">
      <formula1>"A,B,C,D,E"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3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5" customWidth="1" min="3" max="3"/>
    <col width="70" customWidth="1" min="4" max="4"/>
  </cols>
  <sheetData>
    <row r="2">
      <c r="A2" s="1" t="inlineStr">
        <is>
          <t>INSTRUCTOR PORTAL: ANSWER KEY &amp; CLINICAL RATIONALES</t>
        </is>
      </c>
    </row>
    <row r="5">
      <c r="A5" s="22" t="inlineStr">
        <is>
          <t>Q#</t>
        </is>
      </c>
      <c r="B5" s="22" t="inlineStr">
        <is>
          <t>Sub-Category</t>
        </is>
      </c>
      <c r="C5" s="22" t="inlineStr">
        <is>
          <t>Correct Option</t>
        </is>
      </c>
      <c r="D5" s="22" t="inlineStr">
        <is>
          <t>Physiologic &amp; Clinical Rationale / Textbook Reference</t>
        </is>
      </c>
    </row>
    <row r="6">
      <c r="A6" s="14" t="n">
        <v>1</v>
      </c>
      <c r="B6" s="15" t="inlineStr">
        <is>
          <t>Cerebrovascular Diseases</t>
        </is>
      </c>
      <c r="C6" s="23" t="inlineStr">
        <is>
          <t>B</t>
        </is>
      </c>
      <c r="D6" s="15" t="inlineStr">
        <is>
          <t>The 'hyperdense MCA sign' on NCCT is an early direct radiologic sign of acute arterial occlusion representing a dense intravascular thrombus or embolus before parenchymal hypodensity develops.</t>
        </is>
      </c>
    </row>
    <row r="7">
      <c r="A7" s="19" t="n">
        <v>2</v>
      </c>
      <c r="B7" s="20" t="inlineStr">
        <is>
          <t>Cerebrovascular Diseases</t>
        </is>
      </c>
      <c r="C7" s="7" t="inlineStr">
        <is>
          <t>B</t>
        </is>
      </c>
      <c r="D7" s="20" t="inlineStr">
        <is>
          <t>Intravenous thrombolysis with tPA (Alteplase) is approved and effective when administered within 4.5 hours of ischemic stroke symptom onset after excluding intracranial hemorrhage on NCCT.</t>
        </is>
      </c>
    </row>
    <row r="8">
      <c r="A8" s="14" t="n">
        <v>3</v>
      </c>
      <c r="B8" s="15" t="inlineStr">
        <is>
          <t>Cerebrovascular Diseases</t>
        </is>
      </c>
      <c r="C8" s="23" t="inlineStr">
        <is>
          <t>B</t>
        </is>
      </c>
      <c r="D8" s="15" t="inlineStr">
        <is>
          <t>Left MCA occlusion characteristically affects the motor cortex representation of the face and upper extremity more than the lower extremity, along with Broca's expressive language area in dominant hemispheres.</t>
        </is>
      </c>
    </row>
    <row r="9">
      <c r="A9" s="19" t="n">
        <v>4</v>
      </c>
      <c r="B9" s="20" t="inlineStr">
        <is>
          <t>Cerebrovascular Diseases</t>
        </is>
      </c>
      <c r="C9" s="7" t="inlineStr">
        <is>
          <t>C</t>
        </is>
      </c>
      <c r="D9" s="20" t="inlineStr">
        <is>
          <t>The ACA supplies the parasagittal motor and sensory cortex representing the contralateral leg and foot, leading to contralateral lower extremity weakness and sensory loss greater than upper extremity.</t>
        </is>
      </c>
    </row>
    <row r="10">
      <c r="A10" s="14" t="n">
        <v>5</v>
      </c>
      <c r="B10" s="15" t="inlineStr">
        <is>
          <t>Cerebrovascular Diseases</t>
        </is>
      </c>
      <c r="C10" s="23" t="inlineStr">
        <is>
          <t>B</t>
        </is>
      </c>
      <c r="D10" s="15" t="inlineStr">
        <is>
          <t>Intensive acute BP lowering to SBP &lt; 140 mmHg (while avoiding SBP &lt; 110 mmHg) in acute ICH reduces hematoma expansion and improves functional outcomes without compromising cerebral perfusion.</t>
        </is>
      </c>
    </row>
    <row r="11">
      <c r="A11" s="19" t="n">
        <v>6</v>
      </c>
      <c r="B11" s="20" t="inlineStr">
        <is>
          <t>Cerebrovascular Diseases</t>
        </is>
      </c>
      <c r="C11" s="7" t="inlineStr">
        <is>
          <t>B</t>
        </is>
      </c>
      <c r="D11" s="20" t="inlineStr">
        <is>
          <t>When clinical suspicion for subarachnoid hemorrhage (SAH) is high and NCCT head is negative, a lumbar puncture must be performed to look for RBCs and spectrophotometric xanthochromia (bilirubin breakdown).</t>
        </is>
      </c>
    </row>
    <row r="12">
      <c r="A12" s="14" t="n">
        <v>7</v>
      </c>
      <c r="B12" s="15" t="inlineStr">
        <is>
          <t>Cerebrovascular Diseases</t>
        </is>
      </c>
      <c r="C12" s="23" t="inlineStr">
        <is>
          <t>B</t>
        </is>
      </c>
      <c r="D12" s="15" t="inlineStr">
        <is>
          <t>Nimodipine (an oral dihydropyridine calcium channel blocker, 60 mg q4h for 21 days) improves neurological outcomes in SAH by reducing ischemic deficits from vasospasm.</t>
        </is>
      </c>
    </row>
    <row r="13">
      <c r="A13" s="19" t="n">
        <v>8</v>
      </c>
      <c r="B13" s="20" t="inlineStr">
        <is>
          <t>Epilepsy &amp; Seizures</t>
        </is>
      </c>
      <c r="C13" s="7" t="inlineStr">
        <is>
          <t>B</t>
        </is>
      </c>
      <c r="D13" s="20" t="inlineStr">
        <is>
          <t>Operational definition (t1) for convulsive status epilepticus is 5 minutes of continuous seizure activity (or &gt;=2 discrete seizures without recovery), at which point emergency pharmacological treatment must be initiated.</t>
        </is>
      </c>
    </row>
    <row r="14">
      <c r="A14" s="14" t="n">
        <v>9</v>
      </c>
      <c r="B14" s="15" t="inlineStr">
        <is>
          <t>Epilepsy &amp; Seizures</t>
        </is>
      </c>
      <c r="C14" s="23" t="inlineStr">
        <is>
          <t>B</t>
        </is>
      </c>
      <c r="D14" s="15" t="inlineStr">
        <is>
          <t>Benzodiazepines (IV Lorazepam 4 mg or IM Midazolam 10 mg) are first-line rapid-acting therapy (Stage 1) to terminate seizure activity by potentiating GABA-A receptor inhibition.</t>
        </is>
      </c>
    </row>
    <row r="15">
      <c r="A15" s="19" t="n">
        <v>10</v>
      </c>
      <c r="B15" s="20" t="inlineStr">
        <is>
          <t>Epilepsy &amp; Seizures</t>
        </is>
      </c>
      <c r="C15" s="7" t="inlineStr">
        <is>
          <t>B</t>
        </is>
      </c>
      <c r="D15" s="20" t="inlineStr">
        <is>
          <t>Stage 2 urgent control (10-30 mins) involves administering a non-sedating IV antiepileptic drug loading dose: Levetiracetam (60 mg/kg), Fosphenytoin/Phenytoin (20 mg PE/kg), or Sodium Valproate (40 mg/kg).</t>
        </is>
      </c>
    </row>
    <row r="16">
      <c r="A16" s="14" t="n">
        <v>11</v>
      </c>
      <c r="B16" s="15" t="inlineStr">
        <is>
          <t>Epilepsy &amp; Seizures</t>
        </is>
      </c>
      <c r="C16" s="23" t="inlineStr">
        <is>
          <t>B</t>
        </is>
      </c>
      <c r="D16" s="15" t="inlineStr">
        <is>
          <t>IV Phenytoin must not exceed 50 mg/min (and must be diluted in 0.9% Normal Saline, not Dextrose, to avoid precipitation) due to propylene glycol vehicle cardiac toxicity. Fosphenytoin can be infused up to 150 mg PE/min.</t>
        </is>
      </c>
    </row>
    <row r="17">
      <c r="A17" s="19" t="n">
        <v>12</v>
      </c>
      <c r="B17" s="20" t="inlineStr">
        <is>
          <t>CNS Infections</t>
        </is>
      </c>
      <c r="C17" s="7" t="inlineStr">
        <is>
          <t>B</t>
        </is>
      </c>
      <c r="D17" s="20" t="inlineStr">
        <is>
          <t>The classic clinical triad of acute bacterial meningitis comprises fever, nuchal rigidity (neck stiffness), and altered mental status, present in over two-thirds of adult cases.</t>
        </is>
      </c>
    </row>
    <row r="18">
      <c r="A18" s="14" t="n">
        <v>13</v>
      </c>
      <c r="B18" s="15" t="inlineStr">
        <is>
          <t>CNS Infections</t>
        </is>
      </c>
      <c r="C18" s="23" t="inlineStr">
        <is>
          <t>B</t>
        </is>
      </c>
      <c r="D18" s="15" t="inlineStr">
        <is>
          <t>Bacterial meningitis produces purulent CSF with marked polymorphonuclear (PMN) leukocytosis (&gt;1000/uL), low glucose ratio (&lt;0.4), markedly elevated protein (&gt;100-500 mg/dL), and high opening pressure (&gt;200 mmH2O).</t>
        </is>
      </c>
    </row>
    <row r="19">
      <c r="A19" s="19" t="n">
        <v>14</v>
      </c>
      <c r="B19" s="20" t="inlineStr">
        <is>
          <t>CNS Infections</t>
        </is>
      </c>
      <c r="C19" s="7" t="inlineStr">
        <is>
          <t>B</t>
        </is>
      </c>
      <c r="D19" s="20" t="inlineStr">
        <is>
          <t>CT head prior to LP is required if there are signs of space-occupying lesion or raised ICP (papilledema, focal neurological deficits, new-onset seizures, altered consciousness GCS&lt;10, immunocompromised state) to prevent cerebral herniation.</t>
        </is>
      </c>
    </row>
    <row r="20">
      <c r="A20" s="14" t="n">
        <v>15</v>
      </c>
      <c r="B20" s="15" t="inlineStr">
        <is>
          <t>CNS Infections</t>
        </is>
      </c>
      <c r="C20" s="23" t="inlineStr">
        <is>
          <t>B</t>
        </is>
      </c>
      <c r="D20" s="15" t="inlineStr">
        <is>
          <t>For adults &gt;50 years old or immunocompromised, empiric coverage includes Ceftriaxone (for S. pneumoniae/N. meningitidis), Vancomycin (for resistant pneumococcus), and Ampicillin (for Listeria monocytogenes).</t>
        </is>
      </c>
    </row>
    <row r="21">
      <c r="A21" s="19" t="n">
        <v>16</v>
      </c>
      <c r="B21" s="20" t="inlineStr">
        <is>
          <t>CNS Infections</t>
        </is>
      </c>
      <c r="C21" s="7" t="inlineStr">
        <is>
          <t>B</t>
        </is>
      </c>
      <c r="D21" s="20" t="inlineStr">
        <is>
          <t>HSV-1 encephalitis has a high predilection for temporal lobes causing seizures, aphasia, and behavioral changes. High-dose IV Acyclovir must be started immediately on clinical suspicion to prevent high mortality.</t>
        </is>
      </c>
    </row>
    <row r="22">
      <c r="A22" s="14" t="n">
        <v>17</v>
      </c>
      <c r="B22" s="15" t="inlineStr">
        <is>
          <t>Peripheral Neuromuscular Disorders</t>
        </is>
      </c>
      <c r="C22" s="23" t="inlineStr">
        <is>
          <t>B</t>
        </is>
      </c>
      <c r="D22" s="15" t="inlineStr">
        <is>
          <t>GBS (Acute Inflammatory Demyelinating Polyneuropathy) presents with progressive, symmetrical, ascending flaccid paralysis with hyporeflexia/areflexia, frequently preceded by Campylobacter jejuni gastroenteritis.</t>
        </is>
      </c>
    </row>
    <row r="23">
      <c r="A23" s="19" t="n">
        <v>18</v>
      </c>
      <c r="B23" s="20" t="inlineStr">
        <is>
          <t>Peripheral Neuromuscular Disorders</t>
        </is>
      </c>
      <c r="C23" s="7" t="inlineStr">
        <is>
          <t>A</t>
        </is>
      </c>
      <c r="D23" s="20" t="inlineStr">
        <is>
          <t>Albuminocytological dissociation refers to elevated CSF protein concentration (due to spinal root inflammation) with a normal CSF leukocyte count (&lt;10 WBCs/uL), classic for GBS after the first week.</t>
        </is>
      </c>
    </row>
    <row r="24">
      <c r="A24" s="14" t="n">
        <v>19</v>
      </c>
      <c r="B24" s="15" t="inlineStr">
        <is>
          <t>Peripheral Neuromuscular Disorders</t>
        </is>
      </c>
      <c r="C24" s="23" t="inlineStr">
        <is>
          <t>B</t>
        </is>
      </c>
      <c r="D24" s="15" t="inlineStr">
        <is>
          <t>Both IVIG (0.4 g/kg/day for 5 days) and Plasma Exchange (Plasmapheresis) are equally effective first-line immunotherapies that shorten recovery time and reduce mechanical ventilation requirements in GBS.</t>
        </is>
      </c>
    </row>
    <row r="25">
      <c r="A25" s="19" t="n">
        <v>20</v>
      </c>
      <c r="B25" s="20" t="inlineStr">
        <is>
          <t>Peripheral Neuromuscular Disorders</t>
        </is>
      </c>
      <c r="C25" s="7" t="inlineStr">
        <is>
          <t>B</t>
        </is>
      </c>
      <c r="D25" s="20" t="inlineStr">
        <is>
          <t>Clinical trials demonstrate that systemic corticosteroids (oral prednisolone or IV methylprednisolone) do NOT improve outcomes in GBS and may even prolong recovery time; they are contraindicated as monotherapy.</t>
        </is>
      </c>
    </row>
    <row r="26">
      <c r="A26" s="14" t="n">
        <v>21</v>
      </c>
      <c r="B26" s="15" t="inlineStr">
        <is>
          <t>Coma &amp; Altered Consciousness</t>
        </is>
      </c>
      <c r="C26" s="23" t="inlineStr">
        <is>
          <t>B</t>
        </is>
      </c>
      <c r="D26" s="15" t="inlineStr">
        <is>
          <t>A Glasgow Coma Scale score of 8 or less (GCS &lt;= 8) indicates severe brain injury/coma with loss of protective airway reflexes, requiring urgent endotracheal intubation ('GCS 8, intubate').</t>
        </is>
      </c>
    </row>
    <row r="27">
      <c r="A27" s="19" t="n">
        <v>22</v>
      </c>
      <c r="B27" s="20" t="inlineStr">
        <is>
          <t>Coma &amp; Altered Consciousness</t>
        </is>
      </c>
      <c r="C27" s="7" t="inlineStr">
        <is>
          <t>B</t>
        </is>
      </c>
      <c r="D27" s="20" t="inlineStr">
        <is>
          <t>Hypoglycemia is a rapidly fatal yet instantly reversible cause of coma and focal neurological signs. Bedside capillary blood glucose must be checked immediately in all patients with altered mental status.</t>
        </is>
      </c>
    </row>
    <row r="28">
      <c r="A28" s="14" t="n">
        <v>23</v>
      </c>
      <c r="B28" s="15" t="inlineStr">
        <is>
          <t>Cognitive Disorders</t>
        </is>
      </c>
      <c r="C28" s="23" t="inlineStr">
        <is>
          <t>B</t>
        </is>
      </c>
      <c r="D28" s="15" t="inlineStr">
        <is>
          <t>Delirium is characterized by acute onset (hours to days), fluctuating severity throughout the day, and marked impairment of attention and awareness, triggered by underlying systemic illness or drug toxicity.</t>
        </is>
      </c>
    </row>
    <row r="29">
      <c r="A29" s="19" t="n">
        <v>24</v>
      </c>
      <c r="B29" s="20" t="inlineStr">
        <is>
          <t>Metabolic Encephalopathy</t>
        </is>
      </c>
      <c r="C29" s="7" t="inlineStr">
        <is>
          <t>B</t>
        </is>
      </c>
      <c r="D29" s="20" t="inlineStr">
        <is>
          <t>In suspected Wernicke Encephalopathy, high-dose IV Thiamine (Vitamin B1) must be given BEFORE or alongside IV Dextrose, as dextrose infusion without thiamine precipitates acute Wernicke-Korsakoff syndrome.</t>
        </is>
      </c>
    </row>
    <row r="30">
      <c r="A30" s="14" t="n">
        <v>25</v>
      </c>
      <c r="B30" s="15" t="inlineStr">
        <is>
          <t>Toxicology &amp; Overdose</t>
        </is>
      </c>
      <c r="C30" s="23" t="inlineStr">
        <is>
          <t>B</t>
        </is>
      </c>
      <c r="D30" s="15" t="inlineStr">
        <is>
          <t>The classic narcotic opioid overdose triad consists of coma, respiratory depression, and pinpoint pupils (miosis). IV Naloxone (pure opioid antagonist) rapidly reverses respiratory depression.</t>
        </is>
      </c>
    </row>
    <row r="31">
      <c r="A31" s="19" t="n">
        <v>26</v>
      </c>
      <c r="B31" s="20" t="inlineStr">
        <is>
          <t>Toxicology &amp; Overdose</t>
        </is>
      </c>
      <c r="C31" s="7" t="inlineStr">
        <is>
          <t>A</t>
        </is>
      </c>
      <c r="D31" s="20" t="inlineStr">
        <is>
          <t>In organophosphate/carbamate poisoning, competitive muscarinic receptor blockade with IV Atropine (doubling dose every 3-5 mins) is critical to clear life-threatening bronchorrhea and bronchospasm.</t>
        </is>
      </c>
    </row>
    <row r="32">
      <c r="A32" s="14" t="n">
        <v>27</v>
      </c>
      <c r="B32" s="15" t="inlineStr">
        <is>
          <t>Headache &amp; Facial Pain</t>
        </is>
      </c>
      <c r="C32" s="23" t="inlineStr">
        <is>
          <t>B</t>
        </is>
      </c>
      <c r="D32" s="15" t="inlineStr">
        <is>
          <t>Giant Cell (Temporal) Arteritis causes ischemic optic neuropathy leading to irreversible blindness. High-dose systemic steroids must be initiated IMMEDIATELY on clinical suspicion, without waiting for biopsy.</t>
        </is>
      </c>
    </row>
    <row r="33">
      <c r="A33" s="19" t="n">
        <v>28</v>
      </c>
      <c r="B33" s="20" t="inlineStr">
        <is>
          <t>Headache &amp; Facial Pain</t>
        </is>
      </c>
      <c r="C33" s="7" t="inlineStr">
        <is>
          <t>B</t>
        </is>
      </c>
      <c r="D33" s="20" t="inlineStr">
        <is>
          <t>Cluster headache acute attacks respond dramatically to 100% high-flow Normobaric Oxygen (12-15 L/min for 15-20 mins) or subcutaneous/nasal Triptans. Verapamil is used for maintenance prophylaxis.</t>
        </is>
      </c>
    </row>
    <row r="34">
      <c r="A34" s="14" t="n">
        <v>29</v>
      </c>
      <c r="B34" s="15" t="inlineStr">
        <is>
          <t>Spinal Cord Disorders</t>
        </is>
      </c>
      <c r="C34" s="23" t="inlineStr">
        <is>
          <t>A</t>
        </is>
      </c>
      <c r="D34" s="15" t="inlineStr">
        <is>
          <t>High-dose IV Dexamethasone reduces spinal cord vasogenic edema and pain in malignant epidural spinal cord compression and should be administered immediately upon clinical suspicion while arranging emergency MRI.</t>
        </is>
      </c>
    </row>
    <row r="35">
      <c r="A35" s="19" t="n">
        <v>30</v>
      </c>
      <c r="B35" s="20" t="inlineStr">
        <is>
          <t>Brain Death &amp; Reflexes</t>
        </is>
      </c>
      <c r="C35" s="7" t="inlineStr">
        <is>
          <t>B</t>
        </is>
      </c>
      <c r="D35" s="20" t="inlineStr">
        <is>
          <t>The caloric test (oculovestibular reflex) involves slow irrigation of each ear canal with 50 mL of ice-cold water; total absence of eye movement confirms loss of brainstem vestibulo-ocular reflex function.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2026-09-29T02:04:36Z</dcterms:created>
  <dcterms:modified xmlns:dcterms="http://purl.org/dc/terms/" xmlns:xsi="http://www.w3.org/2001/XMLSchema-instance" xsi:type="dcterms:W3CDTF">2026-09-29T02:04:36Z</dcterms:modified>
</cp:coreProperties>
</file>