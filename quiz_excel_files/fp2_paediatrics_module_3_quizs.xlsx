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sz val="9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2060"/>
      <sz val="11"/>
    </font>
    <font>
      <name val="Calibri"/>
      <b val="1"/>
      <color rgb="002F5496"/>
      <sz val="14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20" customWidth="1" min="3" max="3"/>
  </cols>
  <sheetData>
    <row r="1">
      <c r="A1" s="1" t="inlineStr">
        <is>
          <t>MODULE 3: PEDIATRIC CARDIOLOGY &amp; CARDIOVASCULAR SYSTEM</t>
        </is>
      </c>
    </row>
    <row r="2">
      <c r="A2" s="2" t="inlineStr">
        <is>
          <t>Interactive Board Review Quiz &amp; Study System | Generated 2026-10-28 | v1.0</t>
        </is>
      </c>
    </row>
    <row r="4">
      <c r="A4" s="3" t="inlineStr">
        <is>
          <t>WORKBOOK FORMATTING LEGEND</t>
        </is>
      </c>
    </row>
    <row r="5">
      <c r="A5" s="4" t="inlineStr">
        <is>
          <t>Light Blue (#DCE6F1)</t>
        </is>
      </c>
      <c r="B5" s="5" t="inlineStr">
        <is>
          <t>Student Input Cells (Dropdown A-E in Column H)</t>
        </is>
      </c>
    </row>
    <row r="6">
      <c r="A6" s="6" t="inlineStr">
        <is>
          <t>Light Green (#E2EFDA)</t>
        </is>
      </c>
      <c r="B6" s="5" t="inlineStr">
        <is>
          <t>Computed Formulas &amp; Automated Scorecards</t>
        </is>
      </c>
    </row>
    <row r="7">
      <c r="A7" s="7" t="inlineStr">
        <is>
          <t>Zebra Gray (#F2F2F2)</t>
        </is>
      </c>
      <c r="B7" s="5" t="inlineStr">
        <is>
          <t>Alternate Data Row Banding for High Readability</t>
        </is>
      </c>
    </row>
    <row r="9">
      <c r="A9" s="3" t="inlineStr">
        <is>
          <t>MODULE NAVIGATION</t>
        </is>
      </c>
    </row>
    <row r="10">
      <c r="A10" s="8" t="inlineStr">
        <is>
          <t>Tab Name</t>
        </is>
      </c>
      <c r="B10" s="8" t="inlineStr">
        <is>
          <t>Description</t>
        </is>
      </c>
      <c r="C10" s="8" t="inlineStr">
        <is>
          <t>Quick Link</t>
        </is>
      </c>
    </row>
    <row r="11">
      <c r="A11" s="9" t="inlineStr">
        <is>
          <t>Table of Contents</t>
        </is>
      </c>
      <c r="B11" s="9" t="inlineStr">
        <is>
          <t>Workbook overview, formatting legend, and navigation metadata</t>
        </is>
      </c>
      <c r="C11" s="10">
        <f>HYPERLINK("#'Table of Contents'!A1", "Go to TOC →")</f>
        <v/>
      </c>
    </row>
    <row r="12">
      <c r="A12" s="9" t="inlineStr">
        <is>
          <t>Interactive Quiz</t>
        </is>
      </c>
      <c r="B12" s="9" t="inlineStr">
        <is>
          <t>30 High-Yield Board MCQs on Pediatric Cardiology with Real-Time Grading</t>
        </is>
      </c>
      <c r="C12" s="10">
        <f>HYPERLINK("#'Interactive Quiz'!A1", "Go to Quiz →")</f>
        <v/>
      </c>
    </row>
    <row r="13">
      <c r="A13" s="9" t="inlineStr">
        <is>
          <t>Answer Key &amp; Explanations</t>
        </is>
      </c>
      <c r="B13" s="9" t="inlineStr">
        <is>
          <t>Instructor Portal: Correct Answers &amp; Evidence-Based Clinical Explanations</t>
        </is>
      </c>
      <c r="C13" s="10">
        <f>HYPERLINK("#'Answer Key &amp; Explanations'!A1", "Go to Key →")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4" customWidth="1" min="8" max="8"/>
    <col width="22" customWidth="1" min="9" max="9"/>
  </cols>
  <sheetData>
    <row r="1">
      <c r="A1" s="11" t="inlineStr">
        <is>
          <t>MODULE 3: PEDIATRIC CARDIOLOGY QUIZ (STUDENT PORTAL)</t>
        </is>
      </c>
    </row>
    <row r="3">
      <c r="A3" s="12" t="inlineStr">
        <is>
          <t>AUTOMATED SCORECARD</t>
        </is>
      </c>
    </row>
    <row r="4">
      <c r="A4" s="13" t="inlineStr">
        <is>
          <t>Questions Attempted:</t>
        </is>
      </c>
      <c r="B4" s="6">
        <f>COUNTA(H9:H38)</f>
        <v/>
      </c>
    </row>
    <row r="5">
      <c r="A5" s="13" t="inlineStr">
        <is>
          <t>Correct Answers:</t>
        </is>
      </c>
      <c r="B5" s="6">
        <f>COUNTIF(I9:I38, "*Correct*")</f>
        <v/>
      </c>
    </row>
    <row r="6">
      <c r="A6" s="13" t="inlineStr">
        <is>
          <t>Overall Grade %:</t>
        </is>
      </c>
      <c r="B6" s="14">
        <f>IF(B4=0, 0, B5/30)</f>
        <v/>
      </c>
    </row>
    <row r="8">
      <c r="A8" s="8" t="inlineStr">
        <is>
          <t>Q#</t>
        </is>
      </c>
      <c r="B8" s="8" t="inlineStr">
        <is>
          <t>Clinical Question Text</t>
        </is>
      </c>
      <c r="C8" s="8" t="inlineStr">
        <is>
          <t>Option A</t>
        </is>
      </c>
      <c r="D8" s="8" t="inlineStr">
        <is>
          <t>Option B</t>
        </is>
      </c>
      <c r="E8" s="8" t="inlineStr">
        <is>
          <t>Option C</t>
        </is>
      </c>
      <c r="F8" s="8" t="inlineStr">
        <is>
          <t>Option D</t>
        </is>
      </c>
      <c r="G8" s="8" t="inlineStr">
        <is>
          <t>Option E</t>
        </is>
      </c>
      <c r="H8" s="8" t="inlineStr">
        <is>
          <t>Your Answer</t>
        </is>
      </c>
      <c r="I8" s="8" t="inlineStr">
        <is>
          <t>Real-Time Grade</t>
        </is>
      </c>
    </row>
    <row r="9">
      <c r="A9" s="15" t="n">
        <v>1</v>
      </c>
      <c r="B9" s="16" t="inlineStr">
        <is>
          <t>Which of the following is the most common congenital heart defect overall in pediatric clinical practice?</t>
        </is>
      </c>
      <c r="C9" s="16" t="inlineStr">
        <is>
          <t>A. Atrial Septal Defect (ASD)</t>
        </is>
      </c>
      <c r="D9" s="16" t="inlineStr">
        <is>
          <t>B. Ventricular Septal Defect (VSD)</t>
        </is>
      </c>
      <c r="E9" s="16" t="inlineStr">
        <is>
          <t>C. Patent Ductus Arteriosus (PDA)</t>
        </is>
      </c>
      <c r="F9" s="16" t="inlineStr">
        <is>
          <t>D. Tetralogy of Fallot (TOF)</t>
        </is>
      </c>
      <c r="G9" s="16" t="inlineStr">
        <is>
          <t>E. Coarctation of the Aorta</t>
        </is>
      </c>
      <c r="H9" s="4" t="n"/>
      <c r="I9" s="17">
        <f>IF(ISBLANK(H9), "", IF(H9='Answer Key &amp; Explanations'!C9, "✅ Correct", "❌ Incorrect (See Key)"))</f>
        <v/>
      </c>
    </row>
    <row r="10">
      <c r="A10" s="18" t="n">
        <v>2</v>
      </c>
      <c r="B10" s="19" t="inlineStr">
        <is>
          <t>A 2-week-old preterm infant presents with bounding peripheral pulses, a wide pulse pressure, and a continuous 'machinery' murmur best heard at the left upper sternal border. What is the diagnosis?</t>
        </is>
      </c>
      <c r="C10" s="19" t="inlineStr">
        <is>
          <t>A. Ventricular Septal Defect</t>
        </is>
      </c>
      <c r="D10" s="19" t="inlineStr">
        <is>
          <t>B. Coarctation of the Aorta</t>
        </is>
      </c>
      <c r="E10" s="19" t="inlineStr">
        <is>
          <t>C. Patent Ductus Arteriosus (PDA)</t>
        </is>
      </c>
      <c r="F10" s="19" t="inlineStr">
        <is>
          <t>D. Tetralogy of Fallot</t>
        </is>
      </c>
      <c r="G10" s="19" t="inlineStr">
        <is>
          <t>E. Pulmonary Stenosis</t>
        </is>
      </c>
      <c r="H10" s="4" t="n"/>
      <c r="I10" s="7">
        <f>IF(ISBLANK(H10), "", IF(H10='Answer Key &amp; Explanations'!C10, "✅ Correct", "❌ Incorrect (See Key)"))</f>
        <v/>
      </c>
    </row>
    <row r="11">
      <c r="A11" s="15" t="n">
        <v>3</v>
      </c>
      <c r="B11" s="16" t="inlineStr">
        <is>
          <t>Which four anatomical features constitute the classic tetrad of Tetralogy of Fallot (TOF)?</t>
        </is>
      </c>
      <c r="C11" s="16" t="inlineStr">
        <is>
          <t>A. VSD, ASD, PDA, Coarctation</t>
        </is>
      </c>
      <c r="D11" s="16" t="inlineStr">
        <is>
          <t>B. VSD, RVOTO/Infundibular Stenosis, Overriding Aorta, RV Hypertrophy</t>
        </is>
      </c>
      <c r="E11" s="16" t="inlineStr">
        <is>
          <t>C. ASD, Tricuspid Atresia, RV Hypertrophy, Overriding Aorta</t>
        </is>
      </c>
      <c r="F11" s="16" t="inlineStr">
        <is>
          <t>D. VSD, Transposition of Great Arteries, LV Hypertrophy, ASD</t>
        </is>
      </c>
      <c r="G11" s="16" t="inlineStr">
        <is>
          <t>E. ASD, VSD, Endocardial Cushion Defect, Mitral Regurgitation</t>
        </is>
      </c>
      <c r="H11" s="4" t="n"/>
      <c r="I11" s="17">
        <f>IF(ISBLANK(H11), "", IF(H11='Answer Key &amp; Explanations'!C11, "✅ Correct", "❌ Incorrect (See Key)"))</f>
        <v/>
      </c>
    </row>
    <row r="12">
      <c r="A12" s="18" t="n">
        <v>4</v>
      </c>
      <c r="B12" s="19" t="inlineStr">
        <is>
          <t>A 9-month-old infant with Tetralogy of Fallot becomes intensely cyanotic, hyperpneic, and agitated while crying. What is the immediate first step in emergency management?</t>
        </is>
      </c>
      <c r="C12" s="19" t="inlineStr">
        <is>
          <t>A. Immediate IV Adrenaline administration</t>
        </is>
      </c>
      <c r="D12" s="19" t="inlineStr">
        <is>
          <t>B. Flex knees to chest (knee-chest positioning)</t>
        </is>
      </c>
      <c r="E12" s="19" t="inlineStr">
        <is>
          <t>C. Endotracheal intubation and mechanical ventilation</t>
        </is>
      </c>
      <c r="F12" s="19" t="inlineStr">
        <is>
          <t>D. IV Furosemide bolus</t>
        </is>
      </c>
      <c r="G12" s="19" t="inlineStr">
        <is>
          <t>E. Synchronized DC cardioversion</t>
        </is>
      </c>
      <c r="H12" s="4" t="n"/>
      <c r="I12" s="7">
        <f>IF(ISBLANK(H12), "", IF(H12='Answer Key &amp; Explanations'!C12, "✅ Correct", "❌ Incorrect (See Key)"))</f>
        <v/>
      </c>
    </row>
    <row r="13">
      <c r="A13" s="15" t="n">
        <v>5</v>
      </c>
      <c r="B13" s="16" t="inlineStr">
        <is>
          <t>An 8-year-old boy is found to have upper extremity hypertension (BP 140/85 mmHg) with weak, delayed femoral pulses and radio-femoral delay. What is the primary diagnosis?</t>
        </is>
      </c>
      <c r="C13" s="16" t="inlineStr">
        <is>
          <t>A. Aortic Stenosis</t>
        </is>
      </c>
      <c r="D13" s="16" t="inlineStr">
        <is>
          <t>B. Patent Ductus Arteriosus</t>
        </is>
      </c>
      <c r="E13" s="16" t="inlineStr">
        <is>
          <t>C. Coarctation of the Aorta</t>
        </is>
      </c>
      <c r="F13" s="16" t="inlineStr">
        <is>
          <t>D. Takayasu Arteritis</t>
        </is>
      </c>
      <c r="G13" s="16" t="inlineStr">
        <is>
          <t>E. Renal Artery Stenosis</t>
        </is>
      </c>
      <c r="H13" s="4" t="n"/>
      <c r="I13" s="17">
        <f>IF(ISBLANK(H13), "", IF(H13='Answer Key &amp; Explanations'!C13, "✅ Correct", "❌ Incorrect (See Key)"))</f>
        <v/>
      </c>
    </row>
    <row r="14">
      <c r="A14" s="18" t="n">
        <v>6</v>
      </c>
      <c r="B14" s="19" t="inlineStr">
        <is>
          <t>Which of the following clinical findings constitutes a MAJOR criterion under the revised Jones Criteria for Acute Rheumatic Fever?</t>
        </is>
      </c>
      <c r="C14" s="19" t="inlineStr">
        <is>
          <t>A. Fever &gt;38.5°C</t>
        </is>
      </c>
      <c r="D14" s="19" t="inlineStr">
        <is>
          <t>B. Elevated C-Reactive Protein (CRP)</t>
        </is>
      </c>
      <c r="E14" s="19" t="inlineStr">
        <is>
          <t>C. Prolonged PR interval on ECG</t>
        </is>
      </c>
      <c r="F14" s="19" t="inlineStr">
        <is>
          <t>D. Sydenham Chorea</t>
        </is>
      </c>
      <c r="G14" s="19" t="inlineStr">
        <is>
          <t>E. Arthralgia</t>
        </is>
      </c>
      <c r="H14" s="4" t="n"/>
      <c r="I14" s="7">
        <f>IF(ISBLANK(H14), "", IF(H14='Answer Key &amp; Explanations'!C14, "✅ Correct", "❌ Incorrect (See Key)"))</f>
        <v/>
      </c>
    </row>
    <row r="15">
      <c r="A15" s="15" t="n">
        <v>7</v>
      </c>
      <c r="B15" s="16" t="inlineStr">
        <is>
          <t>What is the recommended minimum duration of secondary penicillin prophylaxis for a child with Acute Rheumatic Fever WITHOUT documented carditis?</t>
        </is>
      </c>
      <c r="C15" s="16" t="inlineStr">
        <is>
          <t>A. 1 year</t>
        </is>
      </c>
      <c r="D15" s="16" t="inlineStr">
        <is>
          <t>B. 5 years or until age 21 (whichever is longer)</t>
        </is>
      </c>
      <c r="E15" s="16" t="inlineStr">
        <is>
          <t>C. 10 years or until age 21 (whichever is longer)</t>
        </is>
      </c>
      <c r="F15" s="16" t="inlineStr">
        <is>
          <t>D. 10 years or until age 40 (whichever is longer)</t>
        </is>
      </c>
      <c r="G15" s="16" t="inlineStr">
        <is>
          <t>E. Lifelong prophylaxis</t>
        </is>
      </c>
      <c r="H15" s="4" t="n"/>
      <c r="I15" s="17">
        <f>IF(ISBLANK(H15), "", IF(H15='Answer Key &amp; Explanations'!C15, "✅ Correct", "❌ Incorrect (See Key)"))</f>
        <v/>
      </c>
    </row>
    <row r="16">
      <c r="A16" s="18" t="n">
        <v>8</v>
      </c>
      <c r="B16" s="19" t="inlineStr">
        <is>
          <t>A full-term newborn presents with severe cyanosis within 2 hours of life that fails to improve with 100% oxygen. Chest X-ray shows a narrow mediastinal shadow with an 'egg-on-a-string' cardiac silhouette. Diagnosis?</t>
        </is>
      </c>
      <c r="C16" s="19" t="inlineStr">
        <is>
          <t>A. Tetralogy of Fallot</t>
        </is>
      </c>
      <c r="D16" s="19" t="inlineStr">
        <is>
          <t>B. Transposition of the Great Arteries (TGA)</t>
        </is>
      </c>
      <c r="E16" s="19" t="inlineStr">
        <is>
          <t>C. Total Anomalous Pulmonary Venous Connection (TAPVC)</t>
        </is>
      </c>
      <c r="F16" s="19" t="inlineStr">
        <is>
          <t>D. Tricuspid Atresia</t>
        </is>
      </c>
      <c r="G16" s="19" t="inlineStr">
        <is>
          <t>E. Hypoplastic Left Heart Syndrome</t>
        </is>
      </c>
      <c r="H16" s="4" t="n"/>
      <c r="I16" s="7">
        <f>IF(ISBLANK(H16), "", IF(H16='Answer Key &amp; Explanations'!C16, "✅ Correct", "❌ Incorrect (See Key)"))</f>
        <v/>
      </c>
    </row>
    <row r="17">
      <c r="A17" s="15" t="n">
        <v>9</v>
      </c>
      <c r="B17" s="16" t="inlineStr">
        <is>
          <t>In a newborn with a duct-dependent congenital heart defect (e.g., severe Coarctation or Pulmonary Atresia), which medication is infused immediately to maintain ductal patency?</t>
        </is>
      </c>
      <c r="C17" s="16" t="inlineStr">
        <is>
          <t>A. Indomethacin</t>
        </is>
      </c>
      <c r="D17" s="16" t="inlineStr">
        <is>
          <t>B. Prostaglandin E1 (Alprostadil)</t>
        </is>
      </c>
      <c r="E17" s="16" t="inlineStr">
        <is>
          <t>C. Ibuprofen</t>
        </is>
      </c>
      <c r="F17" s="16" t="inlineStr">
        <is>
          <t>D. Digoxin</t>
        </is>
      </c>
      <c r="G17" s="16" t="inlineStr">
        <is>
          <t>E. Furosemide</t>
        </is>
      </c>
      <c r="H17" s="4" t="n"/>
      <c r="I17" s="17">
        <f>IF(ISBLANK(H17), "", IF(H17='Answer Key &amp; Explanations'!C17, "✅ Correct", "❌ Incorrect (See Key)"))</f>
        <v/>
      </c>
    </row>
    <row r="18">
      <c r="A18" s="18" t="n">
        <v>10</v>
      </c>
      <c r="B18" s="19" t="inlineStr">
        <is>
          <t>A 5-year-old child presents with a narrow-complex Supraventricular Tachycardia (SVT) at a rate of 230 bpm. He is conscious and hemodynamically stable. What is the initial pharmacological drug of choice?</t>
        </is>
      </c>
      <c r="C18" s="19" t="inlineStr">
        <is>
          <t>A. IV Amiodarone</t>
        </is>
      </c>
      <c r="D18" s="19" t="inlineStr">
        <is>
          <t>B. IV Digoxin</t>
        </is>
      </c>
      <c r="E18" s="19" t="inlineStr">
        <is>
          <t>C. IV Adenosine (rapid bolus)</t>
        </is>
      </c>
      <c r="F18" s="19" t="inlineStr">
        <is>
          <t>D. IV Atropine</t>
        </is>
      </c>
      <c r="G18" s="19" t="inlineStr">
        <is>
          <t>E. Oral Propranolol</t>
        </is>
      </c>
      <c r="H18" s="4" t="n"/>
      <c r="I18" s="7">
        <f>IF(ISBLANK(H18), "", IF(H18='Answer Key &amp; Explanations'!C18, "✅ Correct", "❌ Incorrect (See Key)"))</f>
        <v/>
      </c>
    </row>
    <row r="19">
      <c r="A19" s="15" t="n">
        <v>11</v>
      </c>
      <c r="B19" s="16" t="inlineStr">
        <is>
          <t>Which chromosomal anomaly is most strongly associated with an Atrioventricular Septal Defect (AVSD / Endocardial Cushion Defect)?</t>
        </is>
      </c>
      <c r="C19" s="16" t="inlineStr">
        <is>
          <t>A. Turner Syndrome (45,X)</t>
        </is>
      </c>
      <c r="D19" s="16" t="inlineStr">
        <is>
          <t>B. Down Syndrome (Trisomy 21)</t>
        </is>
      </c>
      <c r="E19" s="16" t="inlineStr">
        <is>
          <t>C. Edward Syndrome (Trisomy 18)</t>
        </is>
      </c>
      <c r="F19" s="16" t="inlineStr">
        <is>
          <t>D. Patau Syndrome (Trisomy 13)</t>
        </is>
      </c>
      <c r="G19" s="16" t="inlineStr">
        <is>
          <t>E. DiGeorge Syndrome (22q11.2 deletion)</t>
        </is>
      </c>
      <c r="H19" s="4" t="n"/>
      <c r="I19" s="17">
        <f>IF(ISBLANK(H19), "", IF(H19='Answer Key &amp; Explanations'!C19, "✅ Correct", "❌ Incorrect (See Key)"))</f>
        <v/>
      </c>
    </row>
    <row r="20">
      <c r="A20" s="18" t="n">
        <v>12</v>
      </c>
      <c r="B20" s="19" t="inlineStr">
        <is>
          <t>Which pharmacological agent is indicated to promote closure of a hemodynamically significant Patent Ductus Arteriosus (PDA) in a premature infant?</t>
        </is>
      </c>
      <c r="C20" s="19" t="inlineStr">
        <is>
          <t>A. Alprostadil (PGE1)</t>
        </is>
      </c>
      <c r="D20" s="19" t="inlineStr">
        <is>
          <t>B. IV Ibuprofen or Indomethacin</t>
        </is>
      </c>
      <c r="E20" s="19" t="inlineStr">
        <is>
          <t>C. Dopamine</t>
        </is>
      </c>
      <c r="F20" s="19" t="inlineStr">
        <is>
          <t>D. Sildenafil</t>
        </is>
      </c>
      <c r="G20" s="19" t="inlineStr">
        <is>
          <t>E. Captopril</t>
        </is>
      </c>
      <c r="H20" s="4" t="n"/>
      <c r="I20" s="7">
        <f>IF(ISBLANK(H20), "", IF(H20='Answer Key &amp; Explanations'!C20, "✅ Correct", "❌ Incorrect (See Key)"))</f>
        <v/>
      </c>
    </row>
    <row r="21">
      <c r="A21" s="15" t="n">
        <v>13</v>
      </c>
      <c r="B21" s="16" t="inlineStr">
        <is>
          <t>What is the most common underlying predisposing factor for Infective Endocarditis in pediatric patients?</t>
        </is>
      </c>
      <c r="C21" s="16" t="inlineStr">
        <is>
          <t>A. Intravenous drug abuse</t>
        </is>
      </c>
      <c r="D21" s="16" t="inlineStr">
        <is>
          <t>B. Pre-existing Congenital Heart Disease (CHD)</t>
        </is>
      </c>
      <c r="E21" s="16" t="inlineStr">
        <is>
          <t>C. Acute Glomerulonephritis</t>
        </is>
      </c>
      <c r="F21" s="16" t="inlineStr">
        <is>
          <t>D. Rheumatic Fever without valvular damage</t>
        </is>
      </c>
      <c r="G21" s="16" t="inlineStr">
        <is>
          <t>E. Bronchial Asthma</t>
        </is>
      </c>
      <c r="H21" s="4" t="n"/>
      <c r="I21" s="17">
        <f>IF(ISBLANK(H21), "", IF(H21='Answer Key &amp; Explanations'!C21, "✅ Correct", "❌ Incorrect (See Key)"))</f>
        <v/>
      </c>
    </row>
    <row r="22">
      <c r="A22" s="18" t="n">
        <v>14</v>
      </c>
      <c r="B22" s="19" t="inlineStr">
        <is>
          <t>Which of the following is required to establish the diagnosis of Classic Kawasaki Disease?</t>
        </is>
      </c>
      <c r="C22" s="19" t="inlineStr">
        <is>
          <t>A. High fever for &gt;=5 days PLUS at least 4 principal clinical criteria</t>
        </is>
      </c>
      <c r="D22" s="19" t="inlineStr">
        <is>
          <t>B. High fever for 3 days PLUS coronary aneurysm on echo</t>
        </is>
      </c>
      <c r="E22" s="19" t="inlineStr">
        <is>
          <t>C. Elevated ASO titer PLUS migratory polyarthritis</t>
        </is>
      </c>
      <c r="F22" s="19" t="inlineStr">
        <is>
          <t>D. Thrombocytopenia PLUS purpuric rash</t>
        </is>
      </c>
      <c r="G22" s="19" t="inlineStr">
        <is>
          <t>E. Positive blood culture for Group A Streptococcus</t>
        </is>
      </c>
      <c r="H22" s="4" t="n"/>
      <c r="I22" s="7">
        <f>IF(ISBLANK(H22), "", IF(H22='Answer Key &amp; Explanations'!C22, "✅ Correct", "❌ Incorrect (See Key)"))</f>
        <v/>
      </c>
    </row>
    <row r="23">
      <c r="A23" s="15" t="n">
        <v>15</v>
      </c>
      <c r="B23" s="16" t="inlineStr">
        <is>
          <t>What is the primary medical treatment administered within the first 10 days of fever in Kawasaki Disease to prevent coronary artery aneurysms?</t>
        </is>
      </c>
      <c r="C23" s="16" t="inlineStr">
        <is>
          <t>A. High-dose IV Corticosteroids alone</t>
        </is>
      </c>
      <c r="D23" s="16" t="inlineStr">
        <is>
          <t>B. Intravenous Immunoglobulin (IVIG 2 g/kg) + High-dose Aspirin</t>
        </is>
      </c>
      <c r="E23" s="16" t="inlineStr">
        <is>
          <t>C. Oral Penicillin V for 10 days</t>
        </is>
      </c>
      <c r="F23" s="16" t="inlineStr">
        <is>
          <t>D. IV Ampicillin + Gentamicin</t>
        </is>
      </c>
      <c r="G23" s="16" t="inlineStr">
        <is>
          <t>E. Subcutaneous Low Molecular Weight Heparin</t>
        </is>
      </c>
      <c r="H23" s="4" t="n"/>
      <c r="I23" s="17">
        <f>IF(ISBLANK(H23), "", IF(H23='Answer Key &amp; Explanations'!C23, "✅ Correct", "❌ Incorrect (See Key)"))</f>
        <v/>
      </c>
    </row>
    <row r="24">
      <c r="A24" s="18" t="n">
        <v>16</v>
      </c>
      <c r="B24" s="19" t="inlineStr">
        <is>
          <t>What is the defining pathophysiological event in Eisenmenger Syndrome?</t>
        </is>
      </c>
      <c r="C24" s="19" t="inlineStr">
        <is>
          <t>A. Acute viral myocardial inflammation leading to dilated cardiomyopathy</t>
        </is>
      </c>
      <c r="D24" s="19" t="inlineStr">
        <is>
          <t>B. Uncorrected large L-to-R shunt causes severe pulmonary hypertension and reversal to R-to-L cyanotic shunt</t>
        </is>
      </c>
      <c r="E24" s="19" t="inlineStr">
        <is>
          <t>C. Coronary artery thrombosis following vasculitis</t>
        </is>
      </c>
      <c r="F24" s="19" t="inlineStr">
        <is>
          <t>D. Congenital complete heart block due to maternal SLE</t>
        </is>
      </c>
      <c r="G24" s="19" t="inlineStr">
        <is>
          <t>E. Progressive aortic valve stenosis leading to LV failure</t>
        </is>
      </c>
      <c r="H24" s="4" t="n"/>
      <c r="I24" s="7">
        <f>IF(ISBLANK(H24), "", IF(H24='Answer Key &amp; Explanations'!C24, "✅ Correct", "❌ Incorrect (See Key)"))</f>
        <v/>
      </c>
    </row>
    <row r="25">
      <c r="A25" s="15" t="n">
        <v>17</v>
      </c>
      <c r="B25" s="16" t="inlineStr">
        <is>
          <t>What is the characteristic cardiac auscultatory finding in a child with a hemodynamically significant Atrial Septal Defect (ASD)?</t>
        </is>
      </c>
      <c r="C25" s="16" t="inlineStr">
        <is>
          <t>A. Continuous machinery-like murmur at left infraclavicular area</t>
        </is>
      </c>
      <c r="D25" s="16" t="inlineStr">
        <is>
          <t>B. Fixed, wide splitting of the second heart sound (S2) with a systolic ejection murmur at upper left sternal border</t>
        </is>
      </c>
      <c r="E25" s="16" t="inlineStr">
        <is>
          <t>C. Harsh pansystolic murmur at lower left sternal border with thrill</t>
        </is>
      </c>
      <c r="F25" s="16" t="inlineStr">
        <is>
          <t>D. Mid-systolic click followed by late systolic murmur</t>
        </is>
      </c>
      <c r="G25" s="16" t="inlineStr">
        <is>
          <t>E. Single loud S2 with no murmur</t>
        </is>
      </c>
      <c r="H25" s="4" t="n"/>
      <c r="I25" s="17">
        <f>IF(ISBLANK(H25), "", IF(H25='Answer Key &amp; Explanations'!C25, "✅ Correct", "❌ Incorrect (See Key)"))</f>
        <v/>
      </c>
    </row>
    <row r="26">
      <c r="A26" s="18" t="n">
        <v>18</v>
      </c>
      <c r="B26" s="19" t="inlineStr">
        <is>
          <t>Which first-line neurohormonal drug class reduces afterload and improves survival in children with pediatric congestive heart failure secondary to VSD?</t>
        </is>
      </c>
      <c r="C26" s="19" t="inlineStr">
        <is>
          <t>A. Loop Diuretics (Furosemide)</t>
        </is>
      </c>
      <c r="D26" s="19" t="inlineStr">
        <is>
          <t>B. Angiotensin-Converting Enzyme (ACE) Inhibitors (e.g., Captopril)</t>
        </is>
      </c>
      <c r="E26" s="19" t="inlineStr">
        <is>
          <t>C. Beta-blockers (Propranolol)</t>
        </is>
      </c>
      <c r="F26" s="19" t="inlineStr">
        <is>
          <t>D. Inotropic agents (Digoxin)</t>
        </is>
      </c>
      <c r="G26" s="19" t="inlineStr">
        <is>
          <t>E. Calcium Channel Blockers (Amlodipine)</t>
        </is>
      </c>
      <c r="H26" s="4" t="n"/>
      <c r="I26" s="7">
        <f>IF(ISBLANK(H26), "", IF(H26='Answer Key &amp; Explanations'!C26, "✅ Correct", "❌ Incorrect (See Key)"))</f>
        <v/>
      </c>
    </row>
    <row r="27">
      <c r="A27" s="15" t="n">
        <v>19</v>
      </c>
      <c r="B27" s="16" t="inlineStr">
        <is>
          <t>Which condition is the most common cause of ACQUIRED heart disease in children in developing countries?</t>
        </is>
      </c>
      <c r="C27" s="16" t="inlineStr">
        <is>
          <t>A. Kawasaki Disease</t>
        </is>
      </c>
      <c r="D27" s="16" t="inlineStr">
        <is>
          <t>B. Rheumatic Heart Disease (RHD)</t>
        </is>
      </c>
      <c r="E27" s="16" t="inlineStr">
        <is>
          <t>C. Viral Myocarditis</t>
        </is>
      </c>
      <c r="F27" s="16" t="inlineStr">
        <is>
          <t>D. Dilated Cardiomyopathy</t>
        </is>
      </c>
      <c r="G27" s="16" t="inlineStr">
        <is>
          <t>E. Infective Endocarditis</t>
        </is>
      </c>
      <c r="H27" s="4" t="n"/>
      <c r="I27" s="17">
        <f>IF(ISBLANK(H27), "", IF(H27='Answer Key &amp; Explanations'!C27, "✅ Correct", "❌ Incorrect (See Key)"))</f>
        <v/>
      </c>
    </row>
    <row r="28">
      <c r="A28" s="18" t="n">
        <v>20</v>
      </c>
      <c r="B28" s="19" t="inlineStr">
        <is>
          <t>What classic chest radiograph appearance is associated with Tetralogy of Fallot?</t>
        </is>
      </c>
      <c r="C28" s="19" t="inlineStr">
        <is>
          <t>A. 'Egg-on-a-string' cardiac silhouette</t>
        </is>
      </c>
      <c r="D28" s="19" t="inlineStr">
        <is>
          <t>B. 'Boot-shaped' heart (coeur en sabot) with pulmonary oligemia</t>
        </is>
      </c>
      <c r="E28" s="19" t="inlineStr">
        <is>
          <t>C. 'Snowman' or 'Figure-of-8' sign</t>
        </is>
      </c>
      <c r="F28" s="19" t="inlineStr">
        <is>
          <t>D. Water-bottle heart silhouette</t>
        </is>
      </c>
      <c r="G28" s="19" t="inlineStr">
        <is>
          <t>E. Cardiomegaly with pulmonary plethora</t>
        </is>
      </c>
      <c r="H28" s="4" t="n"/>
      <c r="I28" s="7">
        <f>IF(ISBLANK(H28), "", IF(H28='Answer Key &amp; Explanations'!C28, "✅ Correct", "❌ Incorrect (See Key)"))</f>
        <v/>
      </c>
    </row>
    <row r="29">
      <c r="A29" s="15" t="n">
        <v>21</v>
      </c>
      <c r="B29" s="16" t="inlineStr">
        <is>
          <t>Which cardiovascular anomaly is most specifically associated with Turner Syndrome (45,X)?</t>
        </is>
      </c>
      <c r="C29" s="16" t="inlineStr">
        <is>
          <t>A. Supravalvular Aortic Stenosis</t>
        </is>
      </c>
      <c r="D29" s="16" t="inlineStr">
        <is>
          <t>B. Coarctation of the Aorta &amp; Bicuspid Aortic Valve</t>
        </is>
      </c>
      <c r="E29" s="16" t="inlineStr">
        <is>
          <t>C. Atrioventricular Septal Defect</t>
        </is>
      </c>
      <c r="F29" s="16" t="inlineStr">
        <is>
          <t>D. Tetralogy of Fallot</t>
        </is>
      </c>
      <c r="G29" s="16" t="inlineStr">
        <is>
          <t>E. Transposition of the Great Arteries</t>
        </is>
      </c>
      <c r="H29" s="4" t="n"/>
      <c r="I29" s="17">
        <f>IF(ISBLANK(H29), "", IF(H29='Answer Key &amp; Explanations'!C29, "✅ Correct", "❌ Incorrect (See Key)"))</f>
        <v/>
      </c>
    </row>
    <row r="30">
      <c r="A30" s="18" t="n">
        <v>22</v>
      </c>
      <c r="B30" s="19" t="inlineStr">
        <is>
          <t>A 3-year-old child in SVT (rate 240 bpm) presents with signs of decompensated shock (lethargic, BP 60/40 mmHg, CRT 5 sec). What is the mandatory immediate treatment?</t>
        </is>
      </c>
      <c r="C30" s="19" t="inlineStr">
        <is>
          <t>A. Ice bag applied to the face for 30 seconds</t>
        </is>
      </c>
      <c r="D30" s="19" t="inlineStr">
        <is>
          <t>B. Immediate Synchronized DC Cardioversion (0.5 to 1 J/kg)</t>
        </is>
      </c>
      <c r="E30" s="19" t="inlineStr">
        <is>
          <t>C. IV Adenosine 0.1 mg/kg rapid bolus</t>
        </is>
      </c>
      <c r="F30" s="19" t="inlineStr">
        <is>
          <t>D. Oral Digoxin loading dose</t>
        </is>
      </c>
      <c r="G30" s="19" t="inlineStr">
        <is>
          <t>E. IV Amiodarone over 60 minutes</t>
        </is>
      </c>
      <c r="H30" s="4" t="n"/>
      <c r="I30" s="7">
        <f>IF(ISBLANK(H30), "", IF(H30='Answer Key &amp; Explanations'!C30, "✅ Correct", "❌ Incorrect (See Key)"))</f>
        <v/>
      </c>
    </row>
    <row r="31">
      <c r="A31" s="15" t="n">
        <v>23</v>
      </c>
      <c r="B31" s="16" t="inlineStr">
        <is>
          <t>Infants of Diabetic Mothers (IDM) are at significant risk for which transient, hypertrophic cardiac lesion?</t>
        </is>
      </c>
      <c r="C31" s="16" t="inlineStr">
        <is>
          <t>A. Hypertrophic Cardiomyopathy / Asymmetric Septal Hypertrophy</t>
        </is>
      </c>
      <c r="D31" s="16" t="inlineStr">
        <is>
          <t>B. Dilated Cardiomyopathy</t>
        </is>
      </c>
      <c r="E31" s="16" t="inlineStr">
        <is>
          <t>C. Mitral Valve Prolapse</t>
        </is>
      </c>
      <c r="F31" s="16" t="inlineStr">
        <is>
          <t>D. Pulmonary Valve Atresia</t>
        </is>
      </c>
      <c r="G31" s="16" t="inlineStr">
        <is>
          <t>E. Endocardial Fibroelastosis</t>
        </is>
      </c>
      <c r="H31" s="4" t="n"/>
      <c r="I31" s="17">
        <f>IF(ISBLANK(H31), "", IF(H31='Answer Key &amp; Explanations'!C31, "✅ Correct", "❌ Incorrect (See Key)"))</f>
        <v/>
      </c>
    </row>
    <row r="32">
      <c r="A32" s="18" t="n">
        <v>24</v>
      </c>
      <c r="B32" s="19" t="inlineStr">
        <is>
          <t>An apical pansystolic murmur radiating to the axilla in a child with acute carditis from Rheumatic Fever indicates which valvular lesion?</t>
        </is>
      </c>
      <c r="C32" s="19" t="inlineStr">
        <is>
          <t>A. Aortic Regurgitation</t>
        </is>
      </c>
      <c r="D32" s="19" t="inlineStr">
        <is>
          <t>B. Mitral Regurgitation</t>
        </is>
      </c>
      <c r="E32" s="19" t="inlineStr">
        <is>
          <t>C. Tricuspid Regurgitation</t>
        </is>
      </c>
      <c r="F32" s="19" t="inlineStr">
        <is>
          <t>D. Pulmonary Stenosis</t>
        </is>
      </c>
      <c r="G32" s="19" t="inlineStr">
        <is>
          <t>E. Mitral Stenosis</t>
        </is>
      </c>
      <c r="H32" s="4" t="n"/>
      <c r="I32" s="7">
        <f>IF(ISBLANK(H32), "", IF(H32='Answer Key &amp; Explanations'!C32, "✅ Correct", "❌ Incorrect (See Key)"))</f>
        <v/>
      </c>
    </row>
    <row r="33">
      <c r="A33" s="15" t="n">
        <v>25</v>
      </c>
      <c r="B33" s="16" t="inlineStr">
        <is>
          <t>Which chest radiograph sign is pathognomonic for supracardiac Total Anomalous Pulmonary Venous Connection (TAPVC)?</t>
        </is>
      </c>
      <c r="C33" s="16" t="inlineStr">
        <is>
          <t>A. Boot-shaped heart</t>
        </is>
      </c>
      <c r="D33" s="16" t="inlineStr">
        <is>
          <t>B. 'Snowman' or 'Figure-of-8' sign</t>
        </is>
      </c>
      <c r="E33" s="16" t="inlineStr">
        <is>
          <t>C. Egg-on-a-string appearance</t>
        </is>
      </c>
      <c r="F33" s="16" t="inlineStr">
        <is>
          <t>D. Steeple sign</t>
        </is>
      </c>
      <c r="G33" s="16" t="inlineStr">
        <is>
          <t>E. Thumbprint sign</t>
        </is>
      </c>
      <c r="H33" s="4" t="n"/>
      <c r="I33" s="17">
        <f>IF(ISBLANK(H33), "", IF(H33='Answer Key &amp; Explanations'!C33, "✅ Correct", "❌ Incorrect (See Key)"))</f>
        <v/>
      </c>
    </row>
    <row r="34">
      <c r="A34" s="18" t="n">
        <v>26</v>
      </c>
      <c r="B34" s="19" t="inlineStr">
        <is>
          <t>Systemic hypertension in a child is clinically defined as systolic and/or diastolic blood pressure at or above which percentile for age, sex, and height?</t>
        </is>
      </c>
      <c r="C34" s="19" t="inlineStr">
        <is>
          <t>A. 80th percentile</t>
        </is>
      </c>
      <c r="D34" s="19" t="inlineStr">
        <is>
          <t>B. 90th percentile</t>
        </is>
      </c>
      <c r="E34" s="19" t="inlineStr">
        <is>
          <t>C. 95th percentile</t>
        </is>
      </c>
      <c r="F34" s="19" t="inlineStr">
        <is>
          <t>D. 99th percentile</t>
        </is>
      </c>
      <c r="G34" s="19" t="inlineStr">
        <is>
          <t>E. 50th percentile</t>
        </is>
      </c>
      <c r="H34" s="4" t="n"/>
      <c r="I34" s="7">
        <f>IF(ISBLANK(H34), "", IF(H34='Answer Key &amp; Explanations'!C34, "✅ Correct", "❌ Incorrect (See Key)"))</f>
        <v/>
      </c>
    </row>
    <row r="35">
      <c r="A35" s="15" t="n">
        <v>27</v>
      </c>
      <c r="B35" s="16" t="inlineStr">
        <is>
          <t>What is the most common underlying etiology of secondary hypertension in infants and young children?</t>
        </is>
      </c>
      <c r="C35" s="16" t="inlineStr">
        <is>
          <t>A. Essential / Primary Hypertension</t>
        </is>
      </c>
      <c r="D35" s="16" t="inlineStr">
        <is>
          <t>B. Renal Parenchymal Disease / Renovascular Disease</t>
        </is>
      </c>
      <c r="E35" s="16" t="inlineStr">
        <is>
          <t>C. Pheochromocytoma</t>
        </is>
      </c>
      <c r="F35" s="16" t="inlineStr">
        <is>
          <t>D. Cushing Syndrome</t>
        </is>
      </c>
      <c r="G35" s="16" t="inlineStr">
        <is>
          <t>E. Hyperthyroidism</t>
        </is>
      </c>
      <c r="H35" s="4" t="n"/>
      <c r="I35" s="17">
        <f>IF(ISBLANK(H35), "", IF(H35='Answer Key &amp; Explanations'!C35, "✅ Correct", "❌ Incorrect (See Key)"))</f>
        <v/>
      </c>
    </row>
    <row r="36">
      <c r="A36" s="18" t="n">
        <v>28</v>
      </c>
      <c r="B36" s="19" t="inlineStr">
        <is>
          <t>An 8-month-old infant presents with acute onset tachypnea, poor feeding, gallop rhythm, cardiomegaly on CXR, and tachycardia out of proportion to fever. What is the most likely diagnosis?</t>
        </is>
      </c>
      <c r="C36" s="19" t="inlineStr">
        <is>
          <t>A. Acute Rheumatic Fever</t>
        </is>
      </c>
      <c r="D36" s="19" t="inlineStr">
        <is>
          <t>B. Acute Viral Myocarditis</t>
        </is>
      </c>
      <c r="E36" s="19" t="inlineStr">
        <is>
          <t>C. Hypertrophic Cardiomyopathy</t>
        </is>
      </c>
      <c r="F36" s="19" t="inlineStr">
        <is>
          <t>D. Tetralogy of Fallot</t>
        </is>
      </c>
      <c r="G36" s="19" t="inlineStr">
        <is>
          <t>E. Infective Endocarditis</t>
        </is>
      </c>
      <c r="H36" s="4" t="n"/>
      <c r="I36" s="7">
        <f>IF(ISBLANK(H36), "", IF(H36='Answer Key &amp; Explanations'!C36, "✅ Correct", "❌ Incorrect (See Key)"))</f>
        <v/>
      </c>
    </row>
    <row r="37">
      <c r="A37" s="15" t="n">
        <v>29</v>
      </c>
      <c r="B37" s="16" t="inlineStr">
        <is>
          <t>Antibiotic prophylaxis for Infective Endocarditis prior to invasive dental procedures is recommended strictly for which high-risk pediatric group?</t>
        </is>
      </c>
      <c r="C37" s="16" t="inlineStr">
        <is>
          <t>A. All children with repaired ASD without residual shunts</t>
        </is>
      </c>
      <c r="D37" s="16" t="inlineStr">
        <is>
          <t>B. Unrepaired cyanotic CHD or repaired CHD with residual defects/prosthetics</t>
        </is>
      </c>
      <c r="E37" s="16" t="inlineStr">
        <is>
          <t>C. Children with a history of Rheumatic Fever without valvular damage</t>
        </is>
      </c>
      <c r="F37" s="16" t="inlineStr">
        <is>
          <t>D. Children with innocent functional heart murmurs</t>
        </is>
      </c>
      <c r="G37" s="16" t="inlineStr">
        <is>
          <t>E. All children with Asthmatic bronchitis</t>
        </is>
      </c>
      <c r="H37" s="4" t="n"/>
      <c r="I37" s="17">
        <f>IF(ISBLANK(H37), "", IF(H37='Answer Key &amp; Explanations'!C37, "✅ Correct", "❌ Incorrect (See Key)"))</f>
        <v/>
      </c>
    </row>
    <row r="38">
      <c r="A38" s="18" t="n">
        <v>30</v>
      </c>
      <c r="B38" s="19" t="inlineStr">
        <is>
          <t>Which of the following congenital heart lesions is classified as a CYANOTIC heart defect with a Right-to-Left shunt?</t>
        </is>
      </c>
      <c r="C38" s="19" t="inlineStr">
        <is>
          <t>A. Ventricular Septal Defect (VSD)</t>
        </is>
      </c>
      <c r="D38" s="19" t="inlineStr">
        <is>
          <t>B. Atrial Septal Defect (ASD)</t>
        </is>
      </c>
      <c r="E38" s="19" t="inlineStr">
        <is>
          <t>C. Transposition of the Great Arteries (TGA)</t>
        </is>
      </c>
      <c r="F38" s="19" t="inlineStr">
        <is>
          <t>D. Patent Ductus Arteriosus (PDA)</t>
        </is>
      </c>
      <c r="G38" s="19" t="inlineStr">
        <is>
          <t>E. Coarctation of the Aorta</t>
        </is>
      </c>
      <c r="H38" s="4" t="n"/>
      <c r="I38" s="7">
        <f>IF(ISBLANK(H38), "", IF(H38='Answer Key &amp; Explanations'!C38, "✅ Correct", "❌ Incorrect (See Key)"))</f>
        <v/>
      </c>
    </row>
  </sheetData>
  <mergeCells count="1">
    <mergeCell ref="A3:D3"/>
  </mergeCells>
  <dataValidations count="1">
    <dataValidation sqref="H9:H38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75" customWidth="1" min="4" max="4"/>
  </cols>
  <sheetData>
    <row r="1">
      <c r="A1" s="11" t="inlineStr">
        <is>
          <t>MODULE 3: ANSWER KEY &amp; CLINICAL EXPLANATIONS (INSTRUCTOR PORTAL)</t>
        </is>
      </c>
    </row>
    <row r="8">
      <c r="A8" s="8" t="inlineStr">
        <is>
          <t>Q#</t>
        </is>
      </c>
      <c r="B8" s="8" t="inlineStr">
        <is>
          <t>Question Text Summary</t>
        </is>
      </c>
      <c r="C8" s="8" t="inlineStr">
        <is>
          <t>Correct Key</t>
        </is>
      </c>
      <c r="D8" s="8" t="inlineStr">
        <is>
          <t>Evidence-Based Clinical Explanation</t>
        </is>
      </c>
    </row>
    <row r="9">
      <c r="A9" s="15" t="n">
        <v>1</v>
      </c>
      <c r="B9" s="16" t="inlineStr">
        <is>
          <t>Which of the following is the most common congenital heart defect overall in pediatric clinical practice?</t>
        </is>
      </c>
      <c r="C9" s="20" t="inlineStr">
        <is>
          <t>B</t>
        </is>
      </c>
      <c r="D9" s="16" t="inlineStr">
        <is>
          <t>Ventricular Septal Defect (VSD) is the most common congenital heart lesion, accounting for approximately 25–30% of all CHD cases. Perimembranous VSD is the most common anatomical subtype.</t>
        </is>
      </c>
    </row>
    <row r="10">
      <c r="A10" s="18" t="n">
        <v>2</v>
      </c>
      <c r="B10" s="19" t="inlineStr">
        <is>
          <t>A 2-week-old preterm infant presents with bounding peripheral pulses, a wide pulse pressure, and a continuous 'machinery' murmur best heard at the left upper sternal border. What is the diagnosis?</t>
        </is>
      </c>
      <c r="C10" s="20" t="inlineStr">
        <is>
          <t>C</t>
        </is>
      </c>
      <c r="D10" s="19" t="inlineStr">
        <is>
          <t>Patent Ductus Arteriosus (PDA) classically presents with a continuous rough machinery-like murmur, wide pulse pressure, and bounding peripheral pulses due to rapid diastolic runoff into the pulmonary bed.</t>
        </is>
      </c>
    </row>
    <row r="11">
      <c r="A11" s="15" t="n">
        <v>3</v>
      </c>
      <c r="B11" s="16" t="inlineStr">
        <is>
          <t>Which four anatomical features constitute the classic tetrad of Tetralogy of Fallot (TOF)?</t>
        </is>
      </c>
      <c r="C11" s="20" t="inlineStr">
        <is>
          <t>B</t>
        </is>
      </c>
      <c r="D11" s="16" t="inlineStr">
        <is>
          <t>Tetralogy of Fallot is characterized by: (1) Large VSD, (2) Right Ventricular Outflow Tract Obstruction (RVOTO/infundibular stenosis), (3) Overriding Aorta, and (4) Secondary Right Ventricular Hypertrophy.</t>
        </is>
      </c>
    </row>
    <row r="12">
      <c r="A12" s="18" t="n">
        <v>4</v>
      </c>
      <c r="B12" s="19" t="inlineStr">
        <is>
          <t>A 9-month-old infant with Tetralogy of Fallot becomes intensely cyanotic, hyperpneic, and agitated while crying. What is the immediate first step in emergency management?</t>
        </is>
      </c>
      <c r="C12" s="20" t="inlineStr">
        <is>
          <t>B</t>
        </is>
      </c>
      <c r="D12" s="19" t="inlineStr">
        <is>
          <t>Knee-chest positioning immediately increases Systemic Vascular Resistance (SVR), reducing right-to-left shunting across the VSD and driving blood flow into the pulmonary vascular bed to relieve hypercyanotic spell.</t>
        </is>
      </c>
    </row>
    <row r="13">
      <c r="A13" s="15" t="n">
        <v>5</v>
      </c>
      <c r="B13" s="16" t="inlineStr">
        <is>
          <t>An 8-year-old boy is found to have upper extremity hypertension (BP 140/85 mmHg) with weak, delayed femoral pulses and radio-femoral delay. What is the primary diagnosis?</t>
        </is>
      </c>
      <c r="C13" s="20" t="inlineStr">
        <is>
          <t>C</t>
        </is>
      </c>
      <c r="D13" s="16" t="inlineStr">
        <is>
          <t>Coarctation of the Aorta presents with upper limb hypertension, diminished or delayed femoral pulses (radio-femoral delay), and a systolic murmur over the left infraclavicular area and back.</t>
        </is>
      </c>
    </row>
    <row r="14">
      <c r="A14" s="18" t="n">
        <v>6</v>
      </c>
      <c r="B14" s="19" t="inlineStr">
        <is>
          <t>Which of the following clinical findings constitutes a MAJOR criterion under the revised Jones Criteria for Acute Rheumatic Fever?</t>
        </is>
      </c>
      <c r="C14" s="20" t="inlineStr">
        <is>
          <t>D</t>
        </is>
      </c>
      <c r="D14" s="19" t="inlineStr">
        <is>
          <t>Sydenham Chorea is one of the 5 Major Jones Criteria (Carditis, Migratory Polyarthritis, Sydenham Chorea, Erythema Marginatum, Subcutaneous Nodules). Fever, elevated CRP/ESR, PR prolongation, and arthralgia are minor criteria.</t>
        </is>
      </c>
    </row>
    <row r="15">
      <c r="A15" s="15" t="n">
        <v>7</v>
      </c>
      <c r="B15" s="16" t="inlineStr">
        <is>
          <t>What is the recommended minimum duration of secondary penicillin prophylaxis for a child with Acute Rheumatic Fever WITHOUT documented carditis?</t>
        </is>
      </c>
      <c r="C15" s="20" t="inlineStr">
        <is>
          <t>B</t>
        </is>
      </c>
      <c r="D15" s="16" t="inlineStr">
        <is>
          <t>For ARF without carditis, secondary prophylaxis (IM Benzathine Penicillin G every 3–4 weeks) is recommended for 5 years or until age 21, whichever is longer. If carditis was present, it extends to 10 years or age 21/40.</t>
        </is>
      </c>
    </row>
    <row r="16">
      <c r="A16" s="18" t="n">
        <v>8</v>
      </c>
      <c r="B16" s="19" t="inlineStr">
        <is>
          <t>A full-term newborn presents with severe cyanosis within 2 hours of life that fails to improve with 100% oxygen. Chest X-ray shows a narrow mediastinal shadow with an 'egg-on-a-string' cardiac silhouette. Diagnosis?</t>
        </is>
      </c>
      <c r="C16" s="20" t="inlineStr">
        <is>
          <t>B</t>
        </is>
      </c>
      <c r="D16" s="19" t="inlineStr">
        <is>
          <t>TGA presents with cyanosis immediately at birth. Parallel pulmonary and systemic circulations create a narrow mediastinum and 'egg-on-a-string' cardiac contour on CXR due to anteroposterior alignment of great vessels.</t>
        </is>
      </c>
    </row>
    <row r="17">
      <c r="A17" s="15" t="n">
        <v>9</v>
      </c>
      <c r="B17" s="16" t="inlineStr">
        <is>
          <t>In a newborn with a duct-dependent congenital heart defect (e.g., severe Coarctation or Pulmonary Atresia), which medication is infused immediately to maintain ductal patency?</t>
        </is>
      </c>
      <c r="C17" s="20" t="inlineStr">
        <is>
          <t>B</t>
        </is>
      </c>
      <c r="D17" s="16" t="inlineStr">
        <is>
          <t>Intravenous Prostaglandin E1 (Alprostadil) maintains ductus arteriosus patency in duct-dependent lesions, preventing fatal circulatory collapse until surgical intervention. Indomethacin/Ibuprofen closes the ductus.</t>
        </is>
      </c>
    </row>
    <row r="18">
      <c r="A18" s="18" t="n">
        <v>10</v>
      </c>
      <c r="B18" s="19" t="inlineStr">
        <is>
          <t>A 5-year-old child presents with a narrow-complex Supraventricular Tachycardia (SVT) at a rate of 230 bpm. He is conscious and hemodynamically stable. What is the initial pharmacological drug of choice?</t>
        </is>
      </c>
      <c r="C18" s="20" t="inlineStr">
        <is>
          <t>C</t>
        </is>
      </c>
      <c r="D18" s="19" t="inlineStr">
        <is>
          <t>Rapid IV Adenosine bolus (0.1 mg/kg, max 6 mg) followed by an immediate normal saline flush is the first-line drug of choice for stable narrow-complex SVT after trying vagal maneuvers (e.g., ice bag to face).</t>
        </is>
      </c>
    </row>
    <row r="19">
      <c r="A19" s="15" t="n">
        <v>11</v>
      </c>
      <c r="B19" s="16" t="inlineStr">
        <is>
          <t>Which chromosomal anomaly is most strongly associated with an Atrioventricular Septal Defect (AVSD / Endocardial Cushion Defect)?</t>
        </is>
      </c>
      <c r="C19" s="20" t="inlineStr">
        <is>
          <t>B</t>
        </is>
      </c>
      <c r="D19" s="16" t="inlineStr">
        <is>
          <t>Down Syndrome (Trisomy 21) is strongly associated with AVSD (endocardial cushion defect), accounting for ~40% of all cardiac malformations in infants with Trisomy 21.</t>
        </is>
      </c>
    </row>
    <row r="20">
      <c r="A20" s="18" t="n">
        <v>12</v>
      </c>
      <c r="B20" s="19" t="inlineStr">
        <is>
          <t>Which pharmacological agent is indicated to promote closure of a hemodynamically significant Patent Ductus Arteriosus (PDA) in a premature infant?</t>
        </is>
      </c>
      <c r="C20" s="20" t="inlineStr">
        <is>
          <t>B</t>
        </is>
      </c>
      <c r="D20" s="19" t="inlineStr">
        <is>
          <t>Non-steroidal anti-inflammatory drugs (NSAIDs) such as IV Ibuprofen or Indomethacin inhibit cyclooxygenase and prostaglandin synthesis, inducing ductal closure in premature neonates.</t>
        </is>
      </c>
    </row>
    <row r="21">
      <c r="A21" s="15" t="n">
        <v>13</v>
      </c>
      <c r="B21" s="16" t="inlineStr">
        <is>
          <t>What is the most common underlying predisposing factor for Infective Endocarditis in pediatric patients?</t>
        </is>
      </c>
      <c r="C21" s="20" t="inlineStr">
        <is>
          <t>B</t>
        </is>
      </c>
      <c r="D21" s="16" t="inlineStr">
        <is>
          <t>Pre-existing Congenital Heart Disease (especially unrepaired cyanotic CHD, VSD, or prosthetic valves) is the single most common predisposing risk factor for Infective Endocarditis in children.</t>
        </is>
      </c>
    </row>
    <row r="22">
      <c r="A22" s="18" t="n">
        <v>14</v>
      </c>
      <c r="B22" s="19" t="inlineStr">
        <is>
          <t>Which of the following is required to establish the diagnosis of Classic Kawasaki Disease?</t>
        </is>
      </c>
      <c r="C22" s="20" t="inlineStr">
        <is>
          <t>A</t>
        </is>
      </c>
      <c r="D22" s="19" t="inlineStr">
        <is>
          <t>Classic Kawasaki Disease diagnosis requires high fever lasting &gt;=5 days plus at least 4 of 5 features: (1) bilateral non-purulent conjunctivitis, (2) oral mucosal changes, (3) rash, (4) extremity changes, (5) cervical lymphadenopathy (&gt;1.5cm).</t>
        </is>
      </c>
    </row>
    <row r="23">
      <c r="A23" s="15" t="n">
        <v>15</v>
      </c>
      <c r="B23" s="16" t="inlineStr">
        <is>
          <t>What is the primary medical treatment administered within the first 10 days of fever in Kawasaki Disease to prevent coronary artery aneurysms?</t>
        </is>
      </c>
      <c r="C23" s="20" t="inlineStr">
        <is>
          <t>B</t>
        </is>
      </c>
      <c r="D23" s="16" t="inlineStr">
        <is>
          <t>Single-dose IVIG (2 g/kg over 10–12 hours) combined with high-dose Aspirin (30–50 mg/kg/day) reduces the incidence of coronary artery aneurysms from 20–25% down to &lt;3–5%.</t>
        </is>
      </c>
    </row>
    <row r="24">
      <c r="A24" s="18" t="n">
        <v>16</v>
      </c>
      <c r="B24" s="19" t="inlineStr">
        <is>
          <t>What is the defining pathophysiological event in Eisenmenger Syndrome?</t>
        </is>
      </c>
      <c r="C24" s="20" t="inlineStr">
        <is>
          <t>B</t>
        </is>
      </c>
      <c r="D24" s="19" t="inlineStr">
        <is>
          <t>Eisenmenger Syndrome occurs when an uncorrected large left-to-right shunt (e.g., VSD, ASD, PDA) leads to irreversible pulmonary vascular obstructive disease, pulmonary hypertension, and reversal to a cyanotic right-to-left shunt.</t>
        </is>
      </c>
    </row>
    <row r="25">
      <c r="A25" s="15" t="n">
        <v>17</v>
      </c>
      <c r="B25" s="16" t="inlineStr">
        <is>
          <t>What is the characteristic cardiac auscultatory finding in a child with a hemodynamically significant Atrial Septal Defect (ASD)?</t>
        </is>
      </c>
      <c r="C25" s="20" t="inlineStr">
        <is>
          <t>B</t>
        </is>
      </c>
      <c r="D25" s="16" t="inlineStr">
        <is>
          <t>Atrial Septal Defect classically presents with fixed, wide splitting of S2 (unaffected by respiration) due to persistent right ventricular volume overload and delayed pulmonary valve closure.</t>
        </is>
      </c>
    </row>
    <row r="26">
      <c r="A26" s="18" t="n">
        <v>18</v>
      </c>
      <c r="B26" s="19" t="inlineStr">
        <is>
          <t>Which first-line neurohormonal drug class reduces afterload and improves survival in children with pediatric congestive heart failure secondary to VSD?</t>
        </is>
      </c>
      <c r="C26" s="20" t="inlineStr">
        <is>
          <t>B</t>
        </is>
      </c>
      <c r="D26" s="19" t="inlineStr">
        <is>
          <t>ACE Inhibitors (Captopril, Enalapril) reduce systemic vascular resistance (afterload), reducing left-to-right shunting across VSDs and improving cardiac output in pediatric heart failure.</t>
        </is>
      </c>
    </row>
    <row r="27">
      <c r="A27" s="15" t="n">
        <v>19</v>
      </c>
      <c r="B27" s="16" t="inlineStr">
        <is>
          <t>Which condition is the most common cause of ACQUIRED heart disease in children in developing countries?</t>
        </is>
      </c>
      <c r="C27" s="20" t="inlineStr">
        <is>
          <t>B</t>
        </is>
      </c>
      <c r="D27" s="16" t="inlineStr">
        <is>
          <t>Rheumatic Heart Disease remains the leading cause of acquired heart disease in children in developing regions. In contrast, Kawasaki Disease is the leading cause in industrialized nations.</t>
        </is>
      </c>
    </row>
    <row r="28">
      <c r="A28" s="18" t="n">
        <v>20</v>
      </c>
      <c r="B28" s="19" t="inlineStr">
        <is>
          <t>What classic chest radiograph appearance is associated with Tetralogy of Fallot?</t>
        </is>
      </c>
      <c r="C28" s="20" t="inlineStr">
        <is>
          <t>B</t>
        </is>
      </c>
      <c r="D28" s="19" t="inlineStr">
        <is>
          <t>Tetralogy of Fallot classically demonstrates a 'boot-shaped' heart (coeur en sabot) on CXR due to right ventricular hypertrophy lifting the apex and concavity of the main pulmonary artery segment.</t>
        </is>
      </c>
    </row>
    <row r="29">
      <c r="A29" s="15" t="n">
        <v>21</v>
      </c>
      <c r="B29" s="16" t="inlineStr">
        <is>
          <t>Which cardiovascular anomaly is most specifically associated with Turner Syndrome (45,X)?</t>
        </is>
      </c>
      <c r="C29" s="20" t="inlineStr">
        <is>
          <t>B</t>
        </is>
      </c>
      <c r="D29" s="16" t="inlineStr">
        <is>
          <t>Turner Syndrome (45,X) is strongly associated with left-sided obstructive cardiac lesions, most commonly Coarctation of the Aorta (15–20%) and Bicuspid Aortic Valve (30%).</t>
        </is>
      </c>
    </row>
    <row r="30">
      <c r="A30" s="18" t="n">
        <v>22</v>
      </c>
      <c r="B30" s="19" t="inlineStr">
        <is>
          <t>A 3-year-old child in SVT (rate 240 bpm) presents with signs of decompensated shock (lethargic, BP 60/40 mmHg, CRT 5 sec). What is the mandatory immediate treatment?</t>
        </is>
      </c>
      <c r="C30" s="20" t="inlineStr">
        <is>
          <t>B</t>
        </is>
      </c>
      <c r="D30" s="19" t="inlineStr">
        <is>
          <t>Unstable SVT with hemodynamic compromise/shock mandates immediate Synchronized DC Cardioversion (0.5–1 J/kg, increasing to 2 J/kg if needed). Vagal maneuvers and Adenosine are for stable SVT.</t>
        </is>
      </c>
    </row>
    <row r="31">
      <c r="A31" s="15" t="n">
        <v>23</v>
      </c>
      <c r="B31" s="16" t="inlineStr">
        <is>
          <t>Infants of Diabetic Mothers (IDM) are at significant risk for which transient, hypertrophic cardiac lesion?</t>
        </is>
      </c>
      <c r="C31" s="20" t="inlineStr">
        <is>
          <t>A</t>
        </is>
      </c>
      <c r="D31" s="16" t="inlineStr">
        <is>
          <t>Hyperinsulinemia in infants of diabetic mothers stimulates myocardial glycogen deposition, leading to transient Hypertrophic Cardiomyopathy with asymmetric septal hypertrophy, which usually resolves over months.</t>
        </is>
      </c>
    </row>
    <row r="32">
      <c r="A32" s="18" t="n">
        <v>24</v>
      </c>
      <c r="B32" s="19" t="inlineStr">
        <is>
          <t>An apical pansystolic murmur radiating to the axilla in a child with acute carditis from Rheumatic Fever indicates which valvular lesion?</t>
        </is>
      </c>
      <c r="C32" s="20" t="inlineStr">
        <is>
          <t>B</t>
        </is>
      </c>
      <c r="D32" s="19" t="inlineStr">
        <is>
          <t>Acute rheumatic carditis primarily attacks the mitral valve, causing acute Mitral Regurgitation characterized by an apical high-pitched pansystolic murmur radiating to the axilla.</t>
        </is>
      </c>
    </row>
    <row r="33">
      <c r="A33" s="15" t="n">
        <v>25</v>
      </c>
      <c r="B33" s="16" t="inlineStr">
        <is>
          <t>Which chest radiograph sign is pathognomonic for supracardiac Total Anomalous Pulmonary Venous Connection (TAPVC)?</t>
        </is>
      </c>
      <c r="C33" s="20" t="inlineStr">
        <is>
          <t>B</t>
        </is>
      </c>
      <c r="D33" s="16" t="inlineStr">
        <is>
          <t>Supracardiac TAPVC creates a 'snowman' or 'figure-of-8' cardiac contour on CXR due to a dilated vertical vein, left innominate vein, and superior vena cava forming the top sphere above the heart.</t>
        </is>
      </c>
    </row>
    <row r="34">
      <c r="A34" s="18" t="n">
        <v>26</v>
      </c>
      <c r="B34" s="19" t="inlineStr">
        <is>
          <t>Systemic hypertension in a child is clinically defined as systolic and/or diastolic blood pressure at or above which percentile for age, sex, and height?</t>
        </is>
      </c>
      <c r="C34" s="20" t="inlineStr">
        <is>
          <t>C</t>
        </is>
      </c>
      <c r="D34" s="19" t="inlineStr">
        <is>
          <t>Pediatric hypertension is defined as average SBP and/or DBP &gt;=95th percentile for age, sex, and height measured on at least 3 separate occasions. (BP 90th-95th percentile is prehypertension/elevated BP).</t>
        </is>
      </c>
    </row>
    <row r="35">
      <c r="A35" s="15" t="n">
        <v>27</v>
      </c>
      <c r="B35" s="16" t="inlineStr">
        <is>
          <t>What is the most common underlying etiology of secondary hypertension in infants and young children?</t>
        </is>
      </c>
      <c r="C35" s="20" t="inlineStr">
        <is>
          <t>B</t>
        </is>
      </c>
      <c r="D35" s="16" t="inlineStr">
        <is>
          <t>In young children (&lt;6–10 years), hypertension is overwhelmingly secondary, with Renal Parenchymal Disease (e.g., glomerulonephritis, reflux nephropathy) and Renovascular Disease being the most common causes.</t>
        </is>
      </c>
    </row>
    <row r="36">
      <c r="A36" s="18" t="n">
        <v>28</v>
      </c>
      <c r="B36" s="19" t="inlineStr">
        <is>
          <t>An 8-month-old infant presents with acute onset tachypnea, poor feeding, gallop rhythm, cardiomegaly on CXR, and tachycardia out of proportion to fever. What is the most likely diagnosis?</t>
        </is>
      </c>
      <c r="C36" s="20" t="inlineStr">
        <is>
          <t>B</t>
        </is>
      </c>
      <c r="D36" s="19" t="inlineStr">
        <is>
          <t>Acute Viral Myocarditis (most commonly Coxsackie B or Adenovirus) presents in infants with sudden heart failure, cardiomegaly, unexplained tachycardia, gallop rhythm, and respiratory distress.</t>
        </is>
      </c>
    </row>
    <row r="37">
      <c r="A37" s="15" t="n">
        <v>29</v>
      </c>
      <c r="B37" s="16" t="inlineStr">
        <is>
          <t>Antibiotic prophylaxis for Infective Endocarditis prior to invasive dental procedures is recommended strictly for which high-risk pediatric group?</t>
        </is>
      </c>
      <c r="C37" s="20" t="inlineStr">
        <is>
          <t>B</t>
        </is>
      </c>
      <c r="D37" s="16" t="inlineStr">
        <is>
          <t>AHA guidelines restrict IE dental prophylaxis to highest-risk groups: unrepaired cyanotic CHD, repaired CHD with prosthetic material/devices (first 6 months), or repaired CHD with residual defects adjacent to prosthetic patches.</t>
        </is>
      </c>
    </row>
    <row r="38">
      <c r="A38" s="18" t="n">
        <v>30</v>
      </c>
      <c r="B38" s="19" t="inlineStr">
        <is>
          <t>Which of the following congenital heart lesions is classified as a CYANOTIC heart defect with a Right-to-Left shunt?</t>
        </is>
      </c>
      <c r="C38" s="20" t="inlineStr">
        <is>
          <t>C</t>
        </is>
      </c>
      <c r="D38" s="19" t="inlineStr">
        <is>
          <t>Transposition of the Great Arteries (TGA), Tetralogy of Fallot (TOF), TAPVC, Tricuspid Atresia, and Truncus Arteriosus are cyanotic CHD lesions involving right-to-left shunts or parallel circulations. VSD, ASD, PDA are acyanotic.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2026-10-30T02:29:05Z</dcterms:created>
  <dcterms:modified xmlns:dcterms="http://purl.org/dc/terms/" xmlns:xsi="http://www.w3.org/2001/XMLSchema-instance" xsi:type="dcterms:W3CDTF">2026-10-30T02:29:05Z</dcterms:modified>
</cp:coreProperties>
</file>