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OC" sheetId="1" state="visible" r:id="rId1"/>
    <sheet xmlns:r="http://schemas.openxmlformats.org/officeDocument/2006/relationships" name="Interactive Quiz" sheetId="2" state="visible" r:id="rId2"/>
    <sheet xmlns:r="http://schemas.openxmlformats.org/officeDocument/2006/relationships" name="Answer Key" sheetId="3" state="visible" r:id="rId3"/>
  </sheets>
  <definedNames/>
  <calcPr calcId="124519" fullCalcOnLoad="1"/>
</workbook>
</file>

<file path=xl/styles.xml><?xml version="1.0" encoding="utf-8"?>
<styleSheet xmlns="http://schemas.openxmlformats.org/spreadsheetml/2006/main">
  <numFmts count="1">
    <numFmt numFmtId="164" formatCode="0.0%"/>
  </numFmts>
  <fonts count="7">
    <font>
      <name val="Calibri"/>
      <family val="2"/>
      <color theme="1"/>
      <sz val="11"/>
      <scheme val="minor"/>
    </font>
    <font>
      <name val="Calibri"/>
      <b val="1"/>
      <color rgb="001F4E78"/>
      <sz val="18"/>
    </font>
    <font>
      <name val="Calibri"/>
      <i val="1"/>
      <sz val="10"/>
    </font>
    <font>
      <name val="Calibri"/>
      <b val="1"/>
      <sz val="11"/>
    </font>
    <font>
      <name val="Calibri"/>
      <sz val="11"/>
    </font>
    <font>
      <name val="Calibri"/>
      <b val="1"/>
      <color rgb="00FFFFFF"/>
      <sz val="11"/>
    </font>
    <font>
      <name val="Calibri"/>
      <b val="1"/>
      <color rgb="001F4E78"/>
      <sz val="16"/>
    </font>
  </fonts>
  <fills count="8">
    <fill>
      <patternFill/>
    </fill>
    <fill>
      <patternFill patternType="gray125"/>
    </fill>
    <fill>
      <patternFill patternType="solid">
        <fgColor rgb="001F4E78"/>
        <bgColor rgb="001F4E78"/>
      </patternFill>
    </fill>
    <fill>
      <patternFill patternType="solid">
        <fgColor rgb="00D9E1F2"/>
        <bgColor rgb="00D9E1F2"/>
      </patternFill>
    </fill>
    <fill>
      <patternFill patternType="solid">
        <fgColor rgb="00E2EFDA"/>
        <bgColor rgb="00E2EFDA"/>
      </patternFill>
    </fill>
    <fill>
      <patternFill patternType="solid">
        <fgColor rgb="00FCE4D6"/>
        <bgColor rgb="00FCE4D6"/>
      </patternFill>
    </fill>
    <fill>
      <patternFill patternType="solid">
        <fgColor rgb="00F2F2F2"/>
        <bgColor rgb="00F2F2F2"/>
      </patternFill>
    </fill>
    <fill>
      <patternFill patternType="solid">
        <fgColor rgb="00FFF2CC"/>
        <bgColor rgb="00FFF2C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3" fillId="0" borderId="1" pivotButton="0" quotePrefix="0" xfId="0"/>
    <xf numFmtId="0" fontId="4" fillId="0" borderId="1" pivotButton="0" quotePrefix="0" xfId="0"/>
    <xf numFmtId="0" fontId="5" fillId="2" borderId="0" pivotButton="0" quotePrefix="0" xfId="0"/>
    <xf numFmtId="0" fontId="3" fillId="3" borderId="1" pivotButton="0" quotePrefix="0" xfId="0"/>
    <xf numFmtId="0" fontId="3" fillId="4" borderId="1" pivotButton="0" quotePrefix="0" xfId="0"/>
    <xf numFmtId="0" fontId="3" fillId="5" borderId="1" pivotButton="0" quotePrefix="0" xfId="0"/>
    <xf numFmtId="0" fontId="6" fillId="0" borderId="0" pivotButton="0" quotePrefix="0" xfId="0"/>
    <xf numFmtId="0" fontId="5" fillId="2" borderId="0" applyAlignment="1" pivotButton="0" quotePrefix="0" xfId="0">
      <alignment horizontal="center" vertical="center"/>
    </xf>
    <xf numFmtId="0" fontId="3" fillId="0" borderId="1" applyAlignment="1" pivotButton="0" quotePrefix="0" xfId="0">
      <alignment horizontal="center" vertical="center"/>
    </xf>
    <xf numFmtId="164" fontId="3" fillId="7" borderId="1" applyAlignment="1" pivotButton="0" quotePrefix="0" xfId="0">
      <alignment horizontal="center" vertical="center"/>
    </xf>
    <xf numFmtId="0" fontId="5" fillId="2" borderId="1" applyAlignment="1" pivotButton="0" quotePrefix="0" xfId="0">
      <alignment horizontal="center" vertical="center"/>
    </xf>
    <xf numFmtId="0" fontId="5" fillId="2" borderId="1" applyAlignment="1" pivotButton="0" quotePrefix="0" xfId="0">
      <alignment horizontal="left" vertical="center" wrapText="1"/>
    </xf>
    <xf numFmtId="0" fontId="3" fillId="0" borderId="1" applyAlignment="1" pivotButton="0" quotePrefix="0" xfId="0">
      <alignment horizontal="left" vertical="center" wrapText="1"/>
    </xf>
    <xf numFmtId="0" fontId="4" fillId="0" borderId="1" applyAlignment="1" pivotButton="0" quotePrefix="0" xfId="0">
      <alignment horizontal="left" vertical="center" wrapText="1"/>
    </xf>
    <xf numFmtId="0" fontId="3" fillId="3" borderId="1" applyAlignment="1" pivotButton="0" quotePrefix="0" xfId="0">
      <alignment horizontal="center" vertical="center"/>
    </xf>
    <xf numFmtId="0" fontId="3" fillId="6" borderId="1" applyAlignment="1" pivotButton="0" quotePrefix="0" xfId="0">
      <alignment horizontal="center" vertical="center"/>
    </xf>
    <xf numFmtId="0" fontId="3" fillId="6" borderId="1" applyAlignment="1" pivotButton="0" quotePrefix="0" xfId="0">
      <alignment horizontal="left" vertical="center" wrapText="1"/>
    </xf>
    <xf numFmtId="0" fontId="4" fillId="6"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
  <sheetViews>
    <sheetView showGridLines="0" workbookViewId="0">
      <selection activeCell="A1" sqref="A1"/>
    </sheetView>
  </sheetViews>
  <sheetFormatPr baseColWidth="8" defaultRowHeight="15"/>
  <cols>
    <col width="58" customWidth="1" min="1" max="1"/>
    <col width="80" customWidth="1" min="2" max="2"/>
  </cols>
  <sheetData>
    <row r="1"/>
    <row r="2">
      <c r="A2" s="1" t="inlineStr">
        <is>
          <t>Physiology Course: Interactive Quiz</t>
        </is>
      </c>
    </row>
    <row r="3">
      <c r="A3" s="2" t="inlineStr">
        <is>
          <t>Interactive Excel Workbook Study Guide &amp; Practice Exam</t>
        </is>
      </c>
    </row>
    <row r="4"/>
    <row r="5">
      <c r="A5" s="3" t="inlineStr">
        <is>
          <t>Workbook Sections:</t>
        </is>
      </c>
    </row>
    <row r="6">
      <c r="A6" s="4" t="inlineStr">
        <is>
          <t>TOC</t>
        </is>
      </c>
      <c r="B6" s="5" t="inlineStr">
        <is>
          <t>Table of Contents (This sheet)</t>
        </is>
      </c>
    </row>
    <row r="7">
      <c r="A7" s="4" t="inlineStr">
        <is>
          <t>Interactive Quiz</t>
        </is>
      </c>
      <c r="B7" s="5" t="inlineStr">
        <is>
          <t>Test your knowledge. Select answers from dropdowns and get instant feedback!</t>
        </is>
      </c>
    </row>
    <row r="8">
      <c r="A8" s="4" t="inlineStr">
        <is>
          <t>Answer Key</t>
        </is>
      </c>
      <c r="B8" s="5" t="inlineStr">
        <is>
          <t>Detailed explanations and notes for each of the 30 core exam questions.</t>
        </is>
      </c>
    </row>
    <row r="9"/>
    <row r="10"/>
    <row r="11">
      <c r="A11" s="6" t="inlineStr">
        <is>
          <t>COLOR CODE LEGEND</t>
        </is>
      </c>
    </row>
    <row r="12">
      <c r="A12" s="7" t="inlineStr">
        <is>
          <t>Input Cells (D9E1F2)</t>
        </is>
      </c>
      <c r="B12" s="5" t="inlineStr">
        <is>
          <t>Your Answer selection columns. Select A, B, C, D, or E.</t>
        </is>
      </c>
    </row>
    <row r="13">
      <c r="A13" s="8" t="inlineStr">
        <is>
          <t>Correct Answer (E2EFDA)</t>
        </is>
      </c>
      <c r="B13" s="5" t="inlineStr">
        <is>
          <t>Displays when your selection is correct.</t>
        </is>
      </c>
    </row>
    <row r="14">
      <c r="A14" s="9" t="inlineStr">
        <is>
          <t>Incorrect Answer (FCE4D6)</t>
        </is>
      </c>
      <c r="B14" s="5" t="inlineStr">
        <is>
          <t>Displays when your selection is incorrect.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39"/>
  <sheetViews>
    <sheetView showGridLines="0" workbookViewId="0">
      <pane ySplit="9" topLeftCell="A10" activePane="bottomLeft" state="frozen"/>
      <selection pane="bottomLeft" activeCell="A1" sqref="A1"/>
    </sheetView>
  </sheetViews>
  <sheetFormatPr baseColWidth="8" defaultRowHeight="15"/>
  <cols>
    <col width="40" customWidth="1" min="1" max="1"/>
    <col width="22" customWidth="1" min="2" max="2"/>
    <col width="45" customWidth="1" min="3" max="3"/>
    <col width="30" customWidth="1" min="4" max="4"/>
    <col width="30" customWidth="1" min="5" max="5"/>
    <col width="30" customWidth="1" min="6" max="6"/>
    <col width="30" customWidth="1" min="7" max="7"/>
    <col width="30" customWidth="1" min="8" max="8"/>
    <col width="15" customWidth="1" min="9" max="9"/>
    <col width="12" customWidth="1" min="10" max="10"/>
  </cols>
  <sheetData>
    <row r="1"/>
    <row r="2">
      <c r="A2" s="10" t="inlineStr">
        <is>
          <t>Physiology Interactive Practice Exam</t>
        </is>
      </c>
    </row>
    <row r="3"/>
    <row r="4">
      <c r="A4" s="11" t="inlineStr">
        <is>
          <t>SCORE CARD</t>
        </is>
      </c>
      <c r="D4" s="3" t="inlineStr">
        <is>
          <t>Instructions:</t>
        </is>
      </c>
      <c r="E4" s="3" t="n"/>
      <c r="F4" s="3" t="n"/>
      <c r="G4" s="3" t="n"/>
      <c r="H4" s="3" t="n"/>
    </row>
    <row r="5">
      <c r="A5" s="4" t="inlineStr">
        <is>
          <t>Total Questions</t>
        </is>
      </c>
      <c r="B5" s="12">
        <f>COUNTA(C10:C39)</f>
        <v/>
      </c>
      <c r="D5" s="2" t="inlineStr">
        <is>
          <t>1. Read each question carefully.</t>
        </is>
      </c>
      <c r="E5" s="2" t="n"/>
      <c r="F5" s="2" t="n"/>
      <c r="G5" s="2" t="n"/>
      <c r="H5" s="2" t="n"/>
    </row>
    <row r="6">
      <c r="A6" s="4" t="inlineStr">
        <is>
          <t>Questions Answered</t>
        </is>
      </c>
      <c r="B6" s="12">
        <f>COUNTIF(I10:I39, "&lt;&gt;")</f>
        <v/>
      </c>
      <c r="D6" s="2" t="inlineStr">
        <is>
          <t>2. Select your answer (A, B, C, D, E) from the dropdown in the 'Your Answer' column (Col I).</t>
        </is>
      </c>
      <c r="E6" s="2" t="n"/>
      <c r="F6" s="2" t="n"/>
      <c r="G6" s="2" t="n"/>
      <c r="H6" s="2" t="n"/>
    </row>
    <row r="7">
      <c r="A7" s="4" t="inlineStr">
        <is>
          <t>Correct Answers</t>
        </is>
      </c>
      <c r="B7" s="12">
        <f>COUNTIF(J10:J39, "Correct ✅")</f>
        <v/>
      </c>
      <c r="D7" s="2" t="inlineStr">
        <is>
          <t>3. Check the feedback in the 'Result' column. Complete all questions to see your final score!</t>
        </is>
      </c>
      <c r="E7" s="2" t="n"/>
      <c r="F7" s="2" t="n"/>
      <c r="G7" s="2" t="n"/>
      <c r="H7" s="2" t="n"/>
    </row>
    <row r="8">
      <c r="A8" s="4" t="inlineStr">
        <is>
          <t>Score Percentage</t>
        </is>
      </c>
      <c r="B8" s="13">
        <f>IF(B6&gt;0, B7/B5, 0)</f>
        <v/>
      </c>
    </row>
    <row r="9">
      <c r="A9" s="14" t="inlineStr">
        <is>
          <t>Q#</t>
        </is>
      </c>
      <c r="B9" s="15" t="inlineStr">
        <is>
          <t>Category</t>
        </is>
      </c>
      <c r="C9" s="15" t="inlineStr">
        <is>
          <t>Question Text</t>
        </is>
      </c>
      <c r="D9" s="15" t="inlineStr">
        <is>
          <t>Option A</t>
        </is>
      </c>
      <c r="E9" s="15" t="inlineStr">
        <is>
          <t>Option B</t>
        </is>
      </c>
      <c r="F9" s="15" t="inlineStr">
        <is>
          <t>Option C</t>
        </is>
      </c>
      <c r="G9" s="15" t="inlineStr">
        <is>
          <t>Option D</t>
        </is>
      </c>
      <c r="H9" s="15" t="inlineStr">
        <is>
          <t>Option E</t>
        </is>
      </c>
      <c r="I9" s="14" t="inlineStr">
        <is>
          <t>Your Answer</t>
        </is>
      </c>
      <c r="J9" s="14" t="inlineStr">
        <is>
          <t>Result</t>
        </is>
      </c>
    </row>
    <row r="10">
      <c r="A10" s="12" t="n">
        <v>1</v>
      </c>
      <c r="B10" s="16" t="inlineStr">
        <is>
          <t>Cell Physiology</t>
        </is>
      </c>
      <c r="C10" s="17" t="inlineStr">
        <is>
          <t>In skeletal muscle excitation-contraction coupling, what is the channel responsible for releasing Ca2+ from the sarcoplasmic reticulum?</t>
        </is>
      </c>
      <c r="D10" s="17" t="inlineStr">
        <is>
          <t>A) Voltage-gated Na+ channel</t>
        </is>
      </c>
      <c r="E10" s="17" t="inlineStr">
        <is>
          <t>B) Dihydropyridine (DHP) receptor</t>
        </is>
      </c>
      <c r="F10" s="17" t="inlineStr">
        <is>
          <t>C) Ryanodine receptor channel</t>
        </is>
      </c>
      <c r="G10" s="17" t="inlineStr">
        <is>
          <t>D) Nicotinic Acetylcholine receptor</t>
        </is>
      </c>
      <c r="H10" s="17" t="inlineStr">
        <is>
          <t>E) Ca2+ ATPase Pump</t>
        </is>
      </c>
      <c r="I10" s="18" t="n"/>
      <c r="J10" s="12">
        <f>IF(ISBLANK(I10), "Pending 🟡", IF(I10='Answer Key'!D6, "Correct ✅", "Incorrect ❌"))</f>
        <v/>
      </c>
    </row>
    <row r="11">
      <c r="A11" s="19" t="n">
        <v>2</v>
      </c>
      <c r="B11" s="20" t="inlineStr">
        <is>
          <t>Cell Physiology</t>
        </is>
      </c>
      <c r="C11" s="21" t="inlineStr">
        <is>
          <t>Which transport process is utilized by a cell to take in large macromolecules or droplets of fluid by folding the membrane inward?</t>
        </is>
      </c>
      <c r="D11" s="21" t="inlineStr">
        <is>
          <t>A) Simple Diffusion</t>
        </is>
      </c>
      <c r="E11" s="21" t="inlineStr">
        <is>
          <t>B) Facilitated Diffusion</t>
        </is>
      </c>
      <c r="F11" s="21" t="inlineStr">
        <is>
          <t>C) Exocytosis</t>
        </is>
      </c>
      <c r="G11" s="21" t="inlineStr">
        <is>
          <t>D) Endocytosis (e.g., Pinocytosis)</t>
        </is>
      </c>
      <c r="H11" s="21" t="inlineStr">
        <is>
          <t>E) Primary Active Transport</t>
        </is>
      </c>
      <c r="I11" s="18" t="n"/>
      <c r="J11" s="12">
        <f>IF(ISBLANK(I11), "Pending 🟡", IF(I11='Answer Key'!D7, "Correct ✅", "Incorrect ❌"))</f>
        <v/>
      </c>
    </row>
    <row r="12">
      <c r="A12" s="12" t="n">
        <v>3</v>
      </c>
      <c r="B12" s="16" t="inlineStr">
        <is>
          <t>Cell Physiology</t>
        </is>
      </c>
      <c r="C12" s="17" t="inlineStr">
        <is>
          <t>If a cell's membrane potential shifts from its resting state of -70 mV to -90 mV, the cell is said to be in a state of:</t>
        </is>
      </c>
      <c r="D12" s="17" t="inlineStr">
        <is>
          <t>A) Polarization</t>
        </is>
      </c>
      <c r="E12" s="17" t="inlineStr">
        <is>
          <t>B) Depolarization</t>
        </is>
      </c>
      <c r="F12" s="17" t="inlineStr">
        <is>
          <t>C) Repolarization</t>
        </is>
      </c>
      <c r="G12" s="17" t="inlineStr">
        <is>
          <t>D) Hyperpolarization</t>
        </is>
      </c>
      <c r="H12" s="17" t="inlineStr">
        <is>
          <t>E) Overshoot</t>
        </is>
      </c>
      <c r="I12" s="18" t="n"/>
      <c r="J12" s="12">
        <f>IF(ISBLANK(I12), "Pending 🟡", IF(I12='Answer Key'!D8, "Correct ✅", "Incorrect ❌"))</f>
        <v/>
      </c>
    </row>
    <row r="13">
      <c r="A13" s="19" t="n">
        <v>4</v>
      </c>
      <c r="B13" s="20" t="inlineStr">
        <is>
          <t>Blood &amp; Hemostasis</t>
        </is>
      </c>
      <c r="C13" s="21" t="inlineStr">
        <is>
          <t>According to the ABO blood group classification, which antibodies are present in the plasma of an individual with Type O blood?</t>
        </is>
      </c>
      <c r="D13" s="21" t="inlineStr">
        <is>
          <t>A) Only Anti-A</t>
        </is>
      </c>
      <c r="E13" s="21" t="inlineStr">
        <is>
          <t>B) Only Anti-B</t>
        </is>
      </c>
      <c r="F13" s="21" t="inlineStr">
        <is>
          <t>C) No antibodies</t>
        </is>
      </c>
      <c r="G13" s="21" t="inlineStr">
        <is>
          <t>D) Both Anti-A and Anti-B</t>
        </is>
      </c>
      <c r="H13" s="21" t="inlineStr">
        <is>
          <t>E) Only Rh antibodies</t>
        </is>
      </c>
      <c r="I13" s="18" t="n"/>
      <c r="J13" s="12">
        <f>IF(ISBLANK(I13), "Pending 🟡", IF(I13='Answer Key'!D9, "Correct ✅", "Incorrect ❌"))</f>
        <v/>
      </c>
    </row>
    <row r="14">
      <c r="A14" s="12" t="n">
        <v>5</v>
      </c>
      <c r="B14" s="16" t="inlineStr">
        <is>
          <t>Blood &amp; Hemostasis</t>
        </is>
      </c>
      <c r="C14" s="17" t="inlineStr">
        <is>
          <t>What is the immediate first step in the physiological hemostatic process following a small vessel injury?</t>
        </is>
      </c>
      <c r="D14" s="17" t="inlineStr">
        <is>
          <t>A) Blood coagulation</t>
        </is>
      </c>
      <c r="E14" s="17" t="inlineStr">
        <is>
          <t>B) Platelet plug formation</t>
        </is>
      </c>
      <c r="F14" s="17" t="inlineStr">
        <is>
          <t>C) Vascular constriction (vessel spasm)</t>
        </is>
      </c>
      <c r="G14" s="17" t="inlineStr">
        <is>
          <t>D) Fibrinolysis</t>
        </is>
      </c>
      <c r="H14" s="17" t="inlineStr">
        <is>
          <t>E) Clot retraction</t>
        </is>
      </c>
      <c r="I14" s="18" t="n"/>
      <c r="J14" s="12">
        <f>IF(ISBLANK(I14), "Pending 🟡", IF(I14='Answer Key'!D10, "Correct ✅", "Incorrect ❌"))</f>
        <v/>
      </c>
    </row>
    <row r="15">
      <c r="A15" s="19" t="n">
        <v>6</v>
      </c>
      <c r="B15" s="20" t="inlineStr">
        <is>
          <t>Blood &amp; Hemostasis</t>
        </is>
      </c>
      <c r="C15" s="21" t="inlineStr">
        <is>
          <t>Which of the following is a true physiological characteristic of human platelets?</t>
        </is>
      </c>
      <c r="D15" s="21" t="inlineStr">
        <is>
          <t>A) They have a lifespan of 120 days</t>
        </is>
      </c>
      <c r="E15" s="21" t="inlineStr">
        <is>
          <t>B) They are large biconcave cells</t>
        </is>
      </c>
      <c r="F15" s="21" t="inlineStr">
        <is>
          <t>C) They are non-nucleated and irregularly shaped</t>
        </is>
      </c>
      <c r="G15" s="21" t="inlineStr">
        <is>
          <t>D) They contain hemoglobin for O2 transport</t>
        </is>
      </c>
      <c r="H15" s="21" t="inlineStr">
        <is>
          <t>E) They are the primary source of erythropoietin</t>
        </is>
      </c>
      <c r="I15" s="18" t="n"/>
      <c r="J15" s="12">
        <f>IF(ISBLANK(I15), "Pending 🟡", IF(I15='Answer Key'!D11, "Correct ✅", "Incorrect ❌"))</f>
        <v/>
      </c>
    </row>
    <row r="16">
      <c r="A16" s="12" t="n">
        <v>7</v>
      </c>
      <c r="B16" s="16" t="inlineStr">
        <is>
          <t>Blood &amp; Hemostasis</t>
        </is>
      </c>
      <c r="C16" s="17" t="inlineStr">
        <is>
          <t>What is the primary physiological function of plasma colloid osmotic pressure?</t>
        </is>
      </c>
      <c r="D16" s="17" t="inlineStr">
        <is>
          <t>A) Prevent blood cells from shrinking</t>
        </is>
      </c>
      <c r="E16" s="17" t="inlineStr">
        <is>
          <t>B) Maintain water balance between blood and interstitial fluid (absorption)</t>
        </is>
      </c>
      <c r="F16" s="17" t="inlineStr">
        <is>
          <t>C) Provide energy for secondary active transport</t>
        </is>
      </c>
      <c r="G16" s="17" t="inlineStr">
        <is>
          <t>D) Determine the distribution of water between ICF and ECF</t>
        </is>
      </c>
      <c r="H16" s="17" t="inlineStr">
        <is>
          <t>E) Kill bacteria in the bloodstream</t>
        </is>
      </c>
      <c r="I16" s="18" t="n"/>
      <c r="J16" s="12">
        <f>IF(ISBLANK(I16), "Pending 🟡", IF(I16='Answer Key'!D12, "Correct ✅", "Incorrect ❌"))</f>
        <v/>
      </c>
    </row>
    <row r="17">
      <c r="A17" s="19" t="n">
        <v>8</v>
      </c>
      <c r="B17" s="20" t="inlineStr">
        <is>
          <t>Cardiovascular</t>
        </is>
      </c>
      <c r="C17" s="21" t="inlineStr">
        <is>
          <t>Which event marks the onset of ventricular systole in the cardiac cycle?</t>
        </is>
      </c>
      <c r="D17" s="21" t="inlineStr">
        <is>
          <t>A) Opening of the semilunar valves</t>
        </is>
      </c>
      <c r="E17" s="21" t="inlineStr">
        <is>
          <t>B) Closure of the atrio-ventricular (AV) valves</t>
        </is>
      </c>
      <c r="F17" s="21" t="inlineStr">
        <is>
          <t>C) Closure of the semilunar valves</t>
        </is>
      </c>
      <c r="G17" s="21" t="inlineStr">
        <is>
          <t>D) Atrial contraction</t>
        </is>
      </c>
      <c r="H17" s="21" t="inlineStr">
        <is>
          <t>E) Passive ventricular filling</t>
        </is>
      </c>
      <c r="I17" s="18" t="n"/>
      <c r="J17" s="12">
        <f>IF(ISBLANK(I17), "Pending 🟡", IF(I17='Answer Key'!D13, "Correct ✅", "Incorrect ❌"))</f>
        <v/>
      </c>
    </row>
    <row r="18">
      <c r="A18" s="12" t="n">
        <v>9</v>
      </c>
      <c r="B18" s="16" t="inlineStr">
        <is>
          <t>Cardiovascular</t>
        </is>
      </c>
      <c r="C18" s="17" t="inlineStr">
        <is>
          <t>The spontaneous Phase 4 depolarization (pacemaker potential) of the SA node is primarily due to:</t>
        </is>
      </c>
      <c r="D18" s="17" t="inlineStr">
        <is>
          <t>A) K+ efflux</t>
        </is>
      </c>
      <c r="E18" s="17" t="inlineStr">
        <is>
          <t>B) Massive Na+ influx via fast channels</t>
        </is>
      </c>
      <c r="F18" s="17" t="inlineStr">
        <is>
          <t>C) Na+ influx via 'Funny' channels (If) and T-type Ca2+ influx</t>
        </is>
      </c>
      <c r="G18" s="17" t="inlineStr">
        <is>
          <t>D) Cl- influx</t>
        </is>
      </c>
      <c r="H18" s="17" t="inlineStr">
        <is>
          <t>E) Activation of the Na+/K+ pump</t>
        </is>
      </c>
      <c r="I18" s="18" t="n"/>
      <c r="J18" s="12">
        <f>IF(ISBLANK(I18), "Pending 🟡", IF(I18='Answer Key'!D14, "Correct ✅", "Incorrect ❌"))</f>
        <v/>
      </c>
    </row>
    <row r="19">
      <c r="A19" s="19" t="n">
        <v>10</v>
      </c>
      <c r="B19" s="20" t="inlineStr">
        <is>
          <t>Cardiovascular</t>
        </is>
      </c>
      <c r="C19" s="21" t="inlineStr">
        <is>
          <t>What are the starling forces that promote tissue fluid formation (filtration) at the capillary bed?</t>
        </is>
      </c>
      <c r="D19" s="21" t="inlineStr">
        <is>
          <t>A) Capillary hydrostatic pressure &amp; interstitial fluid colloid osmotic pressure</t>
        </is>
      </c>
      <c r="E19" s="21" t="inlineStr">
        <is>
          <t>B) Plasma colloid osmotic pressure &amp; interstitial fluid hydrostatic pressure</t>
        </is>
      </c>
      <c r="F19" s="21" t="inlineStr">
        <is>
          <t>C) Capillary hydrostatic pressure &amp; plasma colloid osmotic pressure</t>
        </is>
      </c>
      <c r="G19" s="21" t="inlineStr">
        <is>
          <t>D) Interstitial fluid hydrostatic pressure &amp; interstitial fluid colloid osmotic pressure</t>
        </is>
      </c>
      <c r="H19" s="21" t="inlineStr">
        <is>
          <t>E) Osmotic pressure of red blood cells</t>
        </is>
      </c>
      <c r="I19" s="18" t="n"/>
      <c r="J19" s="12">
        <f>IF(ISBLANK(I19), "Pending 🟡", IF(I19='Answer Key'!D15, "Correct ✅", "Incorrect ❌"))</f>
        <v/>
      </c>
    </row>
    <row r="20">
      <c r="A20" s="12" t="n">
        <v>11</v>
      </c>
      <c r="B20" s="16" t="inlineStr">
        <is>
          <t>Cardiovascular</t>
        </is>
      </c>
      <c r="C20" s="17" t="inlineStr">
        <is>
          <t>Stimulation of the parasympathetic vagus nerve results in which effect on the heart?</t>
        </is>
      </c>
      <c r="D20" s="17" t="inlineStr">
        <is>
          <t>A) Increased heart rate</t>
        </is>
      </c>
      <c r="E20" s="17" t="inlineStr">
        <is>
          <t>B) Increased contractility</t>
        </is>
      </c>
      <c r="F20" s="17" t="inlineStr">
        <is>
          <t>C) Decreased heart rate and contractility (negative chronotropic/inotropic)</t>
        </is>
      </c>
      <c r="G20" s="17" t="inlineStr">
        <is>
          <t>D) Faster AV conduction</t>
        </is>
      </c>
      <c r="H20" s="17" t="inlineStr">
        <is>
          <t>E) Opening of more Ca2+ channels</t>
        </is>
      </c>
      <c r="I20" s="18" t="n"/>
      <c r="J20" s="12">
        <f>IF(ISBLANK(I20), "Pending 🟡", IF(I20='Answer Key'!D16, "Correct ✅", "Incorrect ❌"))</f>
        <v/>
      </c>
    </row>
    <row r="21">
      <c r="A21" s="19" t="n">
        <v>12</v>
      </c>
      <c r="B21" s="20" t="inlineStr">
        <is>
          <t>Cardiovascular</t>
        </is>
      </c>
      <c r="C21" s="21" t="inlineStr">
        <is>
          <t>A long interval called a 'compensatory pause' follows a premature ventricular contraction because:</t>
        </is>
      </c>
      <c r="D21" s="21" t="inlineStr">
        <is>
          <t>A) The SA node is damaged</t>
        </is>
      </c>
      <c r="E21" s="21" t="inlineStr">
        <is>
          <t>B) The next normal sinus impulse arrives during the absolute refractory period</t>
        </is>
      </c>
      <c r="F21" s="21" t="inlineStr">
        <is>
          <t>C) The ventricles need to rest after extra work</t>
        </is>
      </c>
      <c r="G21" s="21" t="inlineStr">
        <is>
          <t>D) The AV node blocks the next 3 beats</t>
        </is>
      </c>
      <c r="H21" s="21" t="inlineStr">
        <is>
          <t>E) The vagus nerve is temporarily overactive</t>
        </is>
      </c>
      <c r="I21" s="18" t="n"/>
      <c r="J21" s="12">
        <f>IF(ISBLANK(I21), "Pending 🟡", IF(I21='Answer Key'!D17, "Correct ✅", "Incorrect ❌"))</f>
        <v/>
      </c>
    </row>
    <row r="22">
      <c r="A22" s="12" t="n">
        <v>13</v>
      </c>
      <c r="B22" s="16" t="inlineStr">
        <is>
          <t>Cardiovascular</t>
        </is>
      </c>
      <c r="C22" s="17" t="inlineStr">
        <is>
          <t>For the right ventricle, 'afterload' specifically refers to the pressure found in the:</t>
        </is>
      </c>
      <c r="D22" s="17" t="inlineStr">
        <is>
          <t>A) Aorta</t>
        </is>
      </c>
      <c r="E22" s="17" t="inlineStr">
        <is>
          <t>B) Right Atrium</t>
        </is>
      </c>
      <c r="F22" s="17" t="inlineStr">
        <is>
          <t>C) Vena Cava</t>
        </is>
      </c>
      <c r="G22" s="17" t="inlineStr">
        <is>
          <t>D) Pulmonary Artery</t>
        </is>
      </c>
      <c r="H22" s="17" t="inlineStr">
        <is>
          <t>E) Left Ventricle</t>
        </is>
      </c>
      <c r="I22" s="18" t="n"/>
      <c r="J22" s="12">
        <f>IF(ISBLANK(I22), "Pending 🟡", IF(I22='Answer Key'!D18, "Correct ✅", "Incorrect ❌"))</f>
        <v/>
      </c>
    </row>
    <row r="23">
      <c r="A23" s="19" t="n">
        <v>14</v>
      </c>
      <c r="B23" s="20" t="inlineStr">
        <is>
          <t>Cardiovascular</t>
        </is>
      </c>
      <c r="C23" s="21" t="inlineStr">
        <is>
          <t>Epinephrine (adrenaline) has a highly powerful stimulatory effect on the heart because it has high affinity for:</t>
        </is>
      </c>
      <c r="D23" s="21" t="inlineStr">
        <is>
          <t>A) Alpha-1 receptors</t>
        </is>
      </c>
      <c r="E23" s="21" t="inlineStr">
        <is>
          <t>B) Alpha-2 receptors</t>
        </is>
      </c>
      <c r="F23" s="21" t="inlineStr">
        <is>
          <t>C) Beta-1 receptors</t>
        </is>
      </c>
      <c r="G23" s="21" t="inlineStr">
        <is>
          <t>D) Beta-2 receptors</t>
        </is>
      </c>
      <c r="H23" s="21" t="inlineStr">
        <is>
          <t>E) Nicotinic receptors</t>
        </is>
      </c>
      <c r="I23" s="18" t="n"/>
      <c r="J23" s="12">
        <f>IF(ISBLANK(I23), "Pending 🟡", IF(I23='Answer Key'!D19, "Correct ✅", "Incorrect ❌"))</f>
        <v/>
      </c>
    </row>
    <row r="24">
      <c r="A24" s="12" t="n">
        <v>15</v>
      </c>
      <c r="B24" s="16" t="inlineStr">
        <is>
          <t>Respiratory</t>
        </is>
      </c>
      <c r="C24" s="17" t="inlineStr">
        <is>
          <t>Where are central chemoreceptors located and what is their primary stimulus?</t>
        </is>
      </c>
      <c r="D24" s="17" t="inlineStr">
        <is>
          <t>A) Carotid bodies; sensitive to low blood PO2</t>
        </is>
      </c>
      <c r="E24" s="17" t="inlineStr">
        <is>
          <t>B) Medulla oblongata; sensitive to high [H+] in cerebrospinal fluid (CSF)</t>
        </is>
      </c>
      <c r="F24" s="17" t="inlineStr">
        <is>
          <t>C) Aortic bodies; sensitive to blood pH changes</t>
        </is>
      </c>
      <c r="G24" s="17" t="inlineStr">
        <is>
          <t>D) Lungs; sensitive to stretch</t>
        </is>
      </c>
      <c r="H24" s="17" t="inlineStr">
        <is>
          <t>E) Hypothalamus; sensitive to plasma osmolality</t>
        </is>
      </c>
      <c r="I24" s="18" t="n"/>
      <c r="J24" s="12">
        <f>IF(ISBLANK(I24), "Pending 🟡", IF(I24='Answer Key'!D20, "Correct ✅", "Incorrect ❌"))</f>
        <v/>
      </c>
    </row>
    <row r="25">
      <c r="A25" s="19" t="n">
        <v>16</v>
      </c>
      <c r="B25" s="20" t="inlineStr">
        <is>
          <t>Respiratory</t>
        </is>
      </c>
      <c r="C25" s="21" t="inlineStr">
        <is>
          <t>What is the difference between Vital Capacity (VC) and Total Lung Capacity (TLC)?</t>
        </is>
      </c>
      <c r="D25" s="21" t="inlineStr">
        <is>
          <t>A) VC includes Residual Volume (RV)</t>
        </is>
      </c>
      <c r="E25" s="21" t="inlineStr">
        <is>
          <t>B) TLC is VC minus Tidal Volume</t>
        </is>
      </c>
      <c r="F25" s="21" t="inlineStr">
        <is>
          <t>C) TLC is VC plus Residual Volume (RV)</t>
        </is>
      </c>
      <c r="G25" s="21" t="inlineStr">
        <is>
          <t>D) VC is the volume of air in a normal quiet breath</t>
        </is>
      </c>
      <c r="H25" s="21" t="inlineStr">
        <is>
          <t>E) There is no difference</t>
        </is>
      </c>
      <c r="I25" s="18" t="n"/>
      <c r="J25" s="12">
        <f>IF(ISBLANK(I25), "Pending 🟡", IF(I25='Answer Key'!D21, "Correct ✅", "Incorrect ❌"))</f>
        <v/>
      </c>
    </row>
    <row r="26">
      <c r="A26" s="12" t="n">
        <v>17</v>
      </c>
      <c r="B26" s="16" t="inlineStr">
        <is>
          <t>Respiratory</t>
        </is>
      </c>
      <c r="C26" s="17" t="inlineStr">
        <is>
          <t>Which of the following is NOT a physiological function of alveolar surfactant?</t>
        </is>
      </c>
      <c r="D26" s="17" t="inlineStr">
        <is>
          <t>A) Lowering surface tension in the alveoli</t>
        </is>
      </c>
      <c r="E26" s="17" t="inlineStr">
        <is>
          <t>B) Decreasing the work of inspiration</t>
        </is>
      </c>
      <c r="F26" s="17" t="inlineStr">
        <is>
          <t>C) Maintaining stability of alveoli of different sizes</t>
        </is>
      </c>
      <c r="G26" s="17" t="inlineStr">
        <is>
          <t>D) Direct oxygenation of red blood cells</t>
        </is>
      </c>
      <c r="H26" s="17" t="inlineStr">
        <is>
          <t>E) Preventing pulmonary edema</t>
        </is>
      </c>
      <c r="I26" s="18" t="n"/>
      <c r="J26" s="12">
        <f>IF(ISBLANK(I26), "Pending 🟡", IF(I26='Answer Key'!D22, "Correct ✅", "Incorrect ❌"))</f>
        <v/>
      </c>
    </row>
    <row r="27">
      <c r="A27" s="19" t="n">
        <v>18</v>
      </c>
      <c r="B27" s="20" t="inlineStr">
        <is>
          <t>Respiratory</t>
        </is>
      </c>
      <c r="C27" s="21" t="inlineStr">
        <is>
          <t>Why is alveolar ventilation a more accurate measure of effective breathing than pulmonary ventilation?</t>
        </is>
      </c>
      <c r="D27" s="21" t="inlineStr">
        <is>
          <t>A) It is always larger</t>
        </is>
      </c>
      <c r="E27" s="21" t="inlineStr">
        <is>
          <t>B) It accounts for anatomical dead space</t>
        </is>
      </c>
      <c r="F27" s="21" t="inlineStr">
        <is>
          <t>C) It only measures oxygen</t>
        </is>
      </c>
      <c r="G27" s="21" t="inlineStr">
        <is>
          <t>D) It does not include tidal volume</t>
        </is>
      </c>
      <c r="H27" s="21" t="inlineStr">
        <is>
          <t>E) It is not affected by respiratory rate</t>
        </is>
      </c>
      <c r="I27" s="18" t="n"/>
      <c r="J27" s="12">
        <f>IF(ISBLANK(I27), "Pending 🟡", IF(I27='Answer Key'!D23, "Correct ✅", "Incorrect ❌"))</f>
        <v/>
      </c>
    </row>
    <row r="28">
      <c r="A28" s="12" t="n">
        <v>19</v>
      </c>
      <c r="B28" s="16" t="inlineStr">
        <is>
          <t>Respiratory</t>
        </is>
      </c>
      <c r="C28" s="17" t="inlineStr">
        <is>
          <t>What is the direct driving force for pulmonary ventilation?</t>
        </is>
      </c>
      <c r="D28" s="17" t="inlineStr">
        <is>
          <t>A) Contraction of the diaphragm</t>
        </is>
      </c>
      <c r="E28" s="17" t="inlineStr">
        <is>
          <t>B) Elastic recoil of the thoracic wall</t>
        </is>
      </c>
      <c r="F28" s="17" t="inlineStr">
        <is>
          <t>C) Pressure difference between the atmosphere and the alveoli</t>
        </is>
      </c>
      <c r="G28" s="17" t="inlineStr">
        <is>
          <t>D) Action of alveolar surfactants</t>
        </is>
      </c>
      <c r="H28" s="17" t="inlineStr">
        <is>
          <t>E) Solubility of carbon dioxide</t>
        </is>
      </c>
      <c r="I28" s="18" t="n"/>
      <c r="J28" s="12">
        <f>IF(ISBLANK(I28), "Pending 🟡", IF(I28='Answer Key'!D24, "Correct ✅", "Incorrect ❌"))</f>
        <v/>
      </c>
    </row>
    <row r="29">
      <c r="A29" s="19" t="n">
        <v>20</v>
      </c>
      <c r="B29" s="20" t="inlineStr">
        <is>
          <t>Gastrointestinal</t>
        </is>
      </c>
      <c r="C29" s="21" t="inlineStr">
        <is>
          <t>Which of the following is NOT a physiological function of gastric acid (HCl)?</t>
        </is>
      </c>
      <c r="D29" s="21" t="inlineStr">
        <is>
          <t>A) Activation of pepsinogen into pepsin</t>
        </is>
      </c>
      <c r="E29" s="21" t="inlineStr">
        <is>
          <t>B) Direct binding and absorption of Vitamin B12</t>
        </is>
      </c>
      <c r="F29" s="21" t="inlineStr">
        <is>
          <t>C) Killing of ingested bacteria</t>
        </is>
      </c>
      <c r="G29" s="21" t="inlineStr">
        <is>
          <t>D) Denaturation of dietary proteins</t>
        </is>
      </c>
      <c r="H29" s="21" t="inlineStr">
        <is>
          <t>E) Promotion of pancreatic and biliary secretions</t>
        </is>
      </c>
      <c r="I29" s="18" t="n"/>
      <c r="J29" s="12">
        <f>IF(ISBLANK(I29), "Pending 🟡", IF(I29='Answer Key'!D25, "Correct ✅", "Incorrect ❌"))</f>
        <v/>
      </c>
    </row>
    <row r="30">
      <c r="A30" s="12" t="n">
        <v>21</v>
      </c>
      <c r="B30" s="16" t="inlineStr">
        <is>
          <t>Gastrointestinal</t>
        </is>
      </c>
      <c r="C30" s="17" t="inlineStr">
        <is>
          <t>What is the primary activator that converts pepsinogen to the active digestive enzyme pepsin in the stomach?</t>
        </is>
      </c>
      <c r="D30" s="17" t="inlineStr">
        <is>
          <t>A) Gastrin</t>
        </is>
      </c>
      <c r="E30" s="17" t="inlineStr">
        <is>
          <t>B) Trypsin</t>
        </is>
      </c>
      <c r="F30" s="17" t="inlineStr">
        <is>
          <t>C) Hydrochloric Acid (HCl)</t>
        </is>
      </c>
      <c r="G30" s="17" t="inlineStr">
        <is>
          <t>D) Bile salts</t>
        </is>
      </c>
      <c r="H30" s="17" t="inlineStr">
        <is>
          <t>E) Intrinsic Factor</t>
        </is>
      </c>
      <c r="I30" s="18" t="n"/>
      <c r="J30" s="12">
        <f>IF(ISBLANK(I30), "Pending 🟡", IF(I30='Answer Key'!D26, "Correct ✅", "Incorrect ❌"))</f>
        <v/>
      </c>
    </row>
    <row r="31">
      <c r="A31" s="19" t="n">
        <v>22</v>
      </c>
      <c r="B31" s="20" t="inlineStr">
        <is>
          <t>Gastrointestinal</t>
        </is>
      </c>
      <c r="C31" s="21" t="inlineStr">
        <is>
          <t>Which specialized cell type functions as the pacemaker for the basic electrical rhythm (BER/slow waves) in GI smooth muscle?</t>
        </is>
      </c>
      <c r="D31" s="21" t="inlineStr">
        <is>
          <t>A) Parietal cells</t>
        </is>
      </c>
      <c r="E31" s="21" t="inlineStr">
        <is>
          <t>B) Chief cells</t>
        </is>
      </c>
      <c r="F31" s="21" t="inlineStr">
        <is>
          <t>C) Interstitial Cells of Cajal (ICC)</t>
        </is>
      </c>
      <c r="G31" s="21" t="inlineStr">
        <is>
          <t>D) G cells</t>
        </is>
      </c>
      <c r="H31" s="21" t="inlineStr">
        <is>
          <t>E) Enterochromaffin-like (ECL) cells</t>
        </is>
      </c>
      <c r="I31" s="18" t="n"/>
      <c r="J31" s="12">
        <f>IF(ISBLANK(I31), "Pending 🟡", IF(I31='Answer Key'!D27, "Correct ✅", "Incorrect ❌"))</f>
        <v/>
      </c>
    </row>
    <row r="32">
      <c r="A32" s="12" t="n">
        <v>23</v>
      </c>
      <c r="B32" s="16" t="inlineStr">
        <is>
          <t>Energy &amp; Temp</t>
        </is>
      </c>
      <c r="C32" s="17" t="inlineStr">
        <is>
          <t>Which factor has the most powerful influence on the rate of total energy metabolism in the human body?</t>
        </is>
      </c>
      <c r="D32" s="17" t="inlineStr">
        <is>
          <t>A) Specific dynamic action of food</t>
        </is>
      </c>
      <c r="E32" s="17" t="inlineStr">
        <is>
          <t>B) Mental and emotional activity</t>
        </is>
      </c>
      <c r="F32" s="17" t="inlineStr">
        <is>
          <t>C) Skeletal muscle activity</t>
        </is>
      </c>
      <c r="G32" s="17" t="inlineStr">
        <is>
          <t>D) Environmental temperature</t>
        </is>
      </c>
      <c r="H32" s="17" t="inlineStr">
        <is>
          <t>E) Gender and age</t>
        </is>
      </c>
      <c r="I32" s="18" t="n"/>
      <c r="J32" s="12">
        <f>IF(ISBLANK(I32), "Pending 🟡", IF(I32='Answer Key'!D28, "Correct ✅", "Incorrect ❌"))</f>
        <v/>
      </c>
    </row>
    <row r="33">
      <c r="A33" s="19" t="n">
        <v>24</v>
      </c>
      <c r="B33" s="20" t="inlineStr">
        <is>
          <t>Renal Physiology</t>
        </is>
      </c>
      <c r="C33" s="21" t="inlineStr">
        <is>
          <t>The high osmotic pressure gradient in the renal medulla is established and maintained by which two main solutes?</t>
        </is>
      </c>
      <c r="D33" s="21" t="inlineStr">
        <is>
          <t>A) Glucose and Potassium</t>
        </is>
      </c>
      <c r="E33" s="21" t="inlineStr">
        <is>
          <t>B) Sodium Chloride (NaCl) and Urea</t>
        </is>
      </c>
      <c r="F33" s="21" t="inlineStr">
        <is>
          <t>C) Calcium and Bicarbonate</t>
        </is>
      </c>
      <c r="G33" s="21" t="inlineStr">
        <is>
          <t>D) Albumin and Amino acids</t>
        </is>
      </c>
      <c r="H33" s="21" t="inlineStr">
        <is>
          <t>E) Creatinine and Uric acid</t>
        </is>
      </c>
      <c r="I33" s="18" t="n"/>
      <c r="J33" s="12">
        <f>IF(ISBLANK(I33), "Pending 🟡", IF(I33='Answer Key'!D29, "Correct ✅", "Incorrect ❌"))</f>
        <v/>
      </c>
    </row>
    <row r="34">
      <c r="A34" s="12" t="n">
        <v>25</v>
      </c>
      <c r="B34" s="16" t="inlineStr">
        <is>
          <t>Renal Physiology</t>
        </is>
      </c>
      <c r="C34" s="17" t="inlineStr">
        <is>
          <t>Which physiological change directly stimulates the release of Antidiuretic Hormone (ADH) from the posterior pituitary?</t>
        </is>
      </c>
      <c r="D34" s="17" t="inlineStr">
        <is>
          <t>A) Increased arterial blood pressure</t>
        </is>
      </c>
      <c r="E34" s="17" t="inlineStr">
        <is>
          <t>B) Decreased plasma glucose levels</t>
        </is>
      </c>
      <c r="F34" s="17" t="inlineStr">
        <is>
          <t>C) Increased plasma osmolality</t>
        </is>
      </c>
      <c r="G34" s="17" t="inlineStr">
        <is>
          <t>D) Decreased extracellular fluid sodium</t>
        </is>
      </c>
      <c r="H34" s="17" t="inlineStr">
        <is>
          <t>E) High body temperature</t>
        </is>
      </c>
      <c r="I34" s="18" t="n"/>
      <c r="J34" s="12">
        <f>IF(ISBLANK(I34), "Pending 🟡", IF(I34='Answer Key'!D30, "Correct ✅", "Incorrect ❌"))</f>
        <v/>
      </c>
    </row>
    <row r="35">
      <c r="A35" s="19" t="n">
        <v>26</v>
      </c>
      <c r="B35" s="20" t="inlineStr">
        <is>
          <t>Renal Physiology</t>
        </is>
      </c>
      <c r="C35" s="21" t="inlineStr">
        <is>
          <t>What percentage of filtered water and sodium is reabsorbed in the proximal convoluted tubule?</t>
        </is>
      </c>
      <c r="D35" s="21" t="inlineStr">
        <is>
          <t>A) 10%-15%</t>
        </is>
      </c>
      <c r="E35" s="21" t="inlineStr">
        <is>
          <t>B) 30%-40%</t>
        </is>
      </c>
      <c r="F35" s="21" t="inlineStr">
        <is>
          <t>C) 65%-75%</t>
        </is>
      </c>
      <c r="G35" s="21" t="inlineStr">
        <is>
          <t>D) 90%-95%</t>
        </is>
      </c>
      <c r="H35" s="21" t="inlineStr">
        <is>
          <t>E) 100%</t>
        </is>
      </c>
      <c r="I35" s="18" t="n"/>
      <c r="J35" s="12">
        <f>IF(ISBLANK(I35), "Pending 🟡", IF(I35='Answer Key'!D31, "Correct ✅", "Incorrect ❌"))</f>
        <v/>
      </c>
    </row>
    <row r="36">
      <c r="A36" s="12" t="n">
        <v>27</v>
      </c>
      <c r="B36" s="16" t="inlineStr">
        <is>
          <t>Neurophysiology</t>
        </is>
      </c>
      <c r="C36" s="17" t="inlineStr">
        <is>
          <t>Damage to the base (bottom) of the cochlear duct primarily impairs the hearing of:</t>
        </is>
      </c>
      <c r="D36" s="17" t="inlineStr">
        <is>
          <t>A) Low-frequency sounds</t>
        </is>
      </c>
      <c r="E36" s="17" t="inlineStr">
        <is>
          <t>B) High-frequency sounds</t>
        </is>
      </c>
      <c r="F36" s="17" t="inlineStr">
        <is>
          <t>C) Middle-frequency sounds</t>
        </is>
      </c>
      <c r="G36" s="17" t="inlineStr">
        <is>
          <t>D) Very quiet whispers</t>
        </is>
      </c>
      <c r="H36" s="17" t="inlineStr">
        <is>
          <t>E) Sound localization</t>
        </is>
      </c>
      <c r="I36" s="18" t="n"/>
      <c r="J36" s="12">
        <f>IF(ISBLANK(I36), "Pending 🟡", IF(I36='Answer Key'!D32, "Correct ✅", "Incorrect ❌"))</f>
        <v/>
      </c>
    </row>
    <row r="37">
      <c r="A37" s="19" t="n">
        <v>28</v>
      </c>
      <c r="B37" s="20" t="inlineStr">
        <is>
          <t>Neurophysiology</t>
        </is>
      </c>
      <c r="C37" s="21" t="inlineStr">
        <is>
          <t>Where is the integrating center for the pupillary accommodation reflex located?</t>
        </is>
      </c>
      <c r="D37" s="21" t="inlineStr">
        <is>
          <t>A) Medulla oblongata</t>
        </is>
      </c>
      <c r="E37" s="21" t="inlineStr">
        <is>
          <t>B) Midbrain</t>
        </is>
      </c>
      <c r="F37" s="21" t="inlineStr">
        <is>
          <t>C) Cerebral Cortex (occipital lobe)</t>
        </is>
      </c>
      <c r="G37" s="21" t="inlineStr">
        <is>
          <t>D) Spinal cord (C8-T1)</t>
        </is>
      </c>
      <c r="H37" s="21" t="inlineStr">
        <is>
          <t>E) Cerebellum</t>
        </is>
      </c>
      <c r="I37" s="18" t="n"/>
      <c r="J37" s="12">
        <f>IF(ISBLANK(I37), "Pending 🟡", IF(I37='Answer Key'!D33, "Correct ✅", "Incorrect ❌"))</f>
        <v/>
      </c>
    </row>
    <row r="38">
      <c r="A38" s="12" t="n">
        <v>29</v>
      </c>
      <c r="B38" s="16" t="inlineStr">
        <is>
          <t>Neurophysiology</t>
        </is>
      </c>
      <c r="C38" s="17" t="inlineStr">
        <is>
          <t>What is the sensory receptor (sensor) for the stretch reflex?</t>
        </is>
      </c>
      <c r="D38" s="17" t="inlineStr">
        <is>
          <t>A) Golgi Tendon Organ</t>
        </is>
      </c>
      <c r="E38" s="17" t="inlineStr">
        <is>
          <t>B) Nociceptor</t>
        </is>
      </c>
      <c r="F38" s="17" t="inlineStr">
        <is>
          <t>C) Muscle Spindle</t>
        </is>
      </c>
      <c r="G38" s="17" t="inlineStr">
        <is>
          <t>D) Pacinian Corpuscle</t>
        </is>
      </c>
      <c r="H38" s="17" t="inlineStr">
        <is>
          <t>E) Joint tactile receptor</t>
        </is>
      </c>
      <c r="I38" s="18" t="n"/>
      <c r="J38" s="12">
        <f>IF(ISBLANK(I38), "Pending 🟡", IF(I38='Answer Key'!D34, "Correct ✅", "Incorrect ❌"))</f>
        <v/>
      </c>
    </row>
    <row r="39">
      <c r="A39" s="19" t="n">
        <v>30</v>
      </c>
      <c r="B39" s="20" t="inlineStr">
        <is>
          <t>Endocrine</t>
        </is>
      </c>
      <c r="C39" s="21" t="inlineStr">
        <is>
          <t>What is the most important physiological factor stimulating insulin secretion from pancreatic beta cells?</t>
        </is>
      </c>
      <c r="D39" s="21" t="inlineStr">
        <is>
          <t>A) Plasma amino acids</t>
        </is>
      </c>
      <c r="E39" s="21" t="inlineStr">
        <is>
          <t>B) Increased plasma glucose concentration</t>
        </is>
      </c>
      <c r="F39" s="21" t="inlineStr">
        <is>
          <t>C) Growth Hormone secretion</t>
        </is>
      </c>
      <c r="G39" s="21" t="inlineStr">
        <is>
          <t>D) Sympathetic nervous system activity</t>
        </is>
      </c>
      <c r="H39" s="21" t="inlineStr">
        <is>
          <t>E) Decreased blood pressure</t>
        </is>
      </c>
      <c r="I39" s="18" t="n"/>
      <c r="J39" s="12">
        <f>IF(ISBLANK(I39), "Pending 🟡", IF(I39='Answer Key'!D35, "Correct ✅", "Incorrect ❌"))</f>
        <v/>
      </c>
    </row>
  </sheetData>
  <mergeCells count="1">
    <mergeCell ref="A4:B4"/>
  </mergeCells>
  <dataValidations count="1">
    <dataValidation sqref="I10 I11 I12 I13 I14 I15 I16 I17 I18 I19 I20 I21 I22 I23 I24 I25 I26 I27 I28 I29 I30 I31 I32 I33 I34 I35 I36 I37 I38 I39" showDropDown="0" showInputMessage="0" showErrorMessage="0" allowBlank="1" type="list">
      <formula1>"A,B,C,D,E"</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35"/>
  <sheetViews>
    <sheetView showGridLines="0" workbookViewId="0">
      <pane ySplit="5" topLeftCell="A6" activePane="bottomLeft" state="frozen"/>
      <selection pane="bottomLeft" activeCell="A1" sqref="A1"/>
    </sheetView>
  </sheetViews>
  <sheetFormatPr baseColWidth="8" defaultRowHeight="15"/>
  <cols>
    <col width="84" customWidth="1" min="1" max="1"/>
    <col width="22" customWidth="1" min="2" max="2"/>
    <col width="45" customWidth="1" min="3" max="3"/>
    <col width="18" customWidth="1" min="4" max="4"/>
    <col width="65" customWidth="1" min="5" max="5"/>
  </cols>
  <sheetData>
    <row r="1"/>
    <row r="2">
      <c r="A2" s="10" t="inlineStr">
        <is>
          <t>Physiology Practice Exam - Answer Key &amp; Explanations</t>
        </is>
      </c>
    </row>
    <row r="3">
      <c r="A3" s="2" t="inlineStr">
        <is>
          <t>Review the 'Must-Know' physiological facts below to solidify your understanding.</t>
        </is>
      </c>
    </row>
    <row r="4"/>
    <row r="5">
      <c r="A5" s="14" t="inlineStr">
        <is>
          <t>Q#</t>
        </is>
      </c>
      <c r="B5" s="15" t="inlineStr">
        <is>
          <t>Category</t>
        </is>
      </c>
      <c r="C5" s="15" t="inlineStr">
        <is>
          <t>Question Text</t>
        </is>
      </c>
      <c r="D5" s="14" t="inlineStr">
        <is>
          <t>Correct Option</t>
        </is>
      </c>
      <c r="E5" s="15" t="inlineStr">
        <is>
          <t>Explanations &amp; Must-Know Gists</t>
        </is>
      </c>
    </row>
    <row r="6">
      <c r="A6" s="12" t="n">
        <v>1</v>
      </c>
      <c r="B6" s="16" t="inlineStr">
        <is>
          <t>Cell Physiology</t>
        </is>
      </c>
      <c r="C6" s="17" t="inlineStr">
        <is>
          <t>In skeletal muscle excitation-contraction coupling, what is the channel responsible for releasing Ca2+ from the sarcoplasmic reticulum?</t>
        </is>
      </c>
      <c r="D6" s="12" t="inlineStr">
        <is>
          <t>C</t>
        </is>
      </c>
      <c r="E6" s="17" t="inlineStr">
        <is>
          <t>The Ryanodine receptor is the Ca2+ release channel on the SR membrane. The DHP receptor acts as the voltage sensor on the T-tubule membrane.</t>
        </is>
      </c>
    </row>
    <row r="7">
      <c r="A7" s="19" t="n">
        <v>2</v>
      </c>
      <c r="B7" s="20" t="inlineStr">
        <is>
          <t>Cell Physiology</t>
        </is>
      </c>
      <c r="C7" s="21" t="inlineStr">
        <is>
          <t>Which transport process is utilized by a cell to take in large macromolecules or droplets of fluid by folding the membrane inward?</t>
        </is>
      </c>
      <c r="D7" s="19" t="inlineStr">
        <is>
          <t>D</t>
        </is>
      </c>
      <c r="E7" s="21" t="inlineStr">
        <is>
          <t>Endocytosis involves infolding of the cell membrane to engulf large items or droplets. Pinocytosis is a subtype often called 'cell drinking'.</t>
        </is>
      </c>
    </row>
    <row r="8">
      <c r="A8" s="12" t="n">
        <v>3</v>
      </c>
      <c r="B8" s="16" t="inlineStr">
        <is>
          <t>Cell Physiology</t>
        </is>
      </c>
      <c r="C8" s="17" t="inlineStr">
        <is>
          <t>If a cell's membrane potential shifts from its resting state of -70 mV to -90 mV, the cell is said to be in a state of:</t>
        </is>
      </c>
      <c r="D8" s="12" t="inlineStr">
        <is>
          <t>D</t>
        </is>
      </c>
      <c r="E8" s="17" t="inlineStr">
        <is>
          <t>Hyperpolarization means the membrane potential becomes more negative than the resting potential (further from 0 mV).</t>
        </is>
      </c>
    </row>
    <row r="9">
      <c r="A9" s="19" t="n">
        <v>4</v>
      </c>
      <c r="B9" s="20" t="inlineStr">
        <is>
          <t>Blood &amp; Hemostasis</t>
        </is>
      </c>
      <c r="C9" s="21" t="inlineStr">
        <is>
          <t>According to the ABO blood group classification, which antibodies are present in the plasma of an individual with Type O blood?</t>
        </is>
      </c>
      <c r="D9" s="19" t="inlineStr">
        <is>
          <t>D</t>
        </is>
      </c>
      <c r="E9" s="21" t="inlineStr">
        <is>
          <t>Type O individuals lack A and B antigens on their RBCs, so they produce both Anti-A and Anti-B antibodies in their plasma.</t>
        </is>
      </c>
    </row>
    <row r="10">
      <c r="A10" s="12" t="n">
        <v>5</v>
      </c>
      <c r="B10" s="16" t="inlineStr">
        <is>
          <t>Blood &amp; Hemostasis</t>
        </is>
      </c>
      <c r="C10" s="17" t="inlineStr">
        <is>
          <t>What is the immediate first step in the physiological hemostatic process following a small vessel injury?</t>
        </is>
      </c>
      <c r="D10" s="12" t="inlineStr">
        <is>
          <t>C</t>
        </is>
      </c>
      <c r="E10" s="17" t="inlineStr">
        <is>
          <t>Vascular constriction is the immediate first step to reduce blood flow. Platelet plug and coagulation follow.</t>
        </is>
      </c>
    </row>
    <row r="11">
      <c r="A11" s="19" t="n">
        <v>6</v>
      </c>
      <c r="B11" s="20" t="inlineStr">
        <is>
          <t>Blood &amp; Hemostasis</t>
        </is>
      </c>
      <c r="C11" s="21" t="inlineStr">
        <is>
          <t>Which of the following is a true physiological characteristic of human platelets?</t>
        </is>
      </c>
      <c r="D11" s="19" t="inlineStr">
        <is>
          <t>C</t>
        </is>
      </c>
      <c r="E11" s="21" t="inlineStr">
        <is>
          <t>Platelets are non-nucleated cell fragments with a short lifespan (7-14 days). RBCs have a 120-day lifespan.</t>
        </is>
      </c>
    </row>
    <row r="12">
      <c r="A12" s="12" t="n">
        <v>7</v>
      </c>
      <c r="B12" s="16" t="inlineStr">
        <is>
          <t>Blood &amp; Hemostasis</t>
        </is>
      </c>
      <c r="C12" s="17" t="inlineStr">
        <is>
          <t>What is the primary physiological function of plasma colloid osmotic pressure?</t>
        </is>
      </c>
      <c r="D12" s="12" t="inlineStr">
        <is>
          <t>B</t>
        </is>
      </c>
      <c r="E12" s="17" t="inlineStr">
        <is>
          <t>Plasma colloid osmotic pressure (mostly from albumin) draws water back into capillaries, opposing filtration and preventing edema.</t>
        </is>
      </c>
    </row>
    <row r="13">
      <c r="A13" s="19" t="n">
        <v>8</v>
      </c>
      <c r="B13" s="20" t="inlineStr">
        <is>
          <t>Cardiovascular</t>
        </is>
      </c>
      <c r="C13" s="21" t="inlineStr">
        <is>
          <t>Which event marks the onset of ventricular systole in the cardiac cycle?</t>
        </is>
      </c>
      <c r="D13" s="19" t="inlineStr">
        <is>
          <t>B</t>
        </is>
      </c>
      <c r="E13" s="21" t="inlineStr">
        <is>
          <t>Ventricular systole begins with isovolumetric contraction. The closure of the AV valves produces the first heart sound (S1).</t>
        </is>
      </c>
    </row>
    <row r="14">
      <c r="A14" s="12" t="n">
        <v>9</v>
      </c>
      <c r="B14" s="16" t="inlineStr">
        <is>
          <t>Cardiovascular</t>
        </is>
      </c>
      <c r="C14" s="17" t="inlineStr">
        <is>
          <t>The spontaneous Phase 4 depolarization (pacemaker potential) of the SA node is primarily due to:</t>
        </is>
      </c>
      <c r="D14" s="12" t="inlineStr">
        <is>
          <t>C</t>
        </is>
      </c>
      <c r="E14" s="17" t="inlineStr">
        <is>
          <t>The SA node's auto-rhythmicity is driven by funny sodium currents (If) and T-type Ca2+ channels during Phase 4.</t>
        </is>
      </c>
    </row>
    <row r="15">
      <c r="A15" s="19" t="n">
        <v>10</v>
      </c>
      <c r="B15" s="20" t="inlineStr">
        <is>
          <t>Cardiovascular</t>
        </is>
      </c>
      <c r="C15" s="21" t="inlineStr">
        <is>
          <t>What are the starling forces that promote tissue fluid formation (filtration) at the capillary bed?</t>
        </is>
      </c>
      <c r="D15" s="19" t="inlineStr">
        <is>
          <t>A</t>
        </is>
      </c>
      <c r="E15" s="21" t="inlineStr">
        <is>
          <t>Capillary hydrostatic pressure (pushes fluid out) and interstitial colloid osmotic pressure (pulls fluid out) promote filtration.</t>
        </is>
      </c>
    </row>
    <row r="16">
      <c r="A16" s="12" t="n">
        <v>11</v>
      </c>
      <c r="B16" s="16" t="inlineStr">
        <is>
          <t>Cardiovascular</t>
        </is>
      </c>
      <c r="C16" s="17" t="inlineStr">
        <is>
          <t>Stimulation of the parasympathetic vagus nerve results in which effect on the heart?</t>
        </is>
      </c>
      <c r="D16" s="12" t="inlineStr">
        <is>
          <t>C</t>
        </is>
      </c>
      <c r="E16" s="17" t="inlineStr">
        <is>
          <t>Vagal stimulation releases acetylcholine (ACh), which slows the heart rate and decreases contractility via muscarinic (M2) receptors.</t>
        </is>
      </c>
    </row>
    <row r="17">
      <c r="A17" s="19" t="n">
        <v>12</v>
      </c>
      <c r="B17" s="20" t="inlineStr">
        <is>
          <t>Cardiovascular</t>
        </is>
      </c>
      <c r="C17" s="21" t="inlineStr">
        <is>
          <t>A long interval called a 'compensatory pause' follows a premature ventricular contraction because:</t>
        </is>
      </c>
      <c r="D17" s="19" t="inlineStr">
        <is>
          <t>B</t>
        </is>
      </c>
      <c r="E17" s="21" t="inlineStr">
        <is>
          <t>The premature contraction leaves the ventricles in their absolute refractory period when the next normal sinus impulse arrives, causing it to fail to excite.</t>
        </is>
      </c>
    </row>
    <row r="18">
      <c r="A18" s="12" t="n">
        <v>13</v>
      </c>
      <c r="B18" s="16" t="inlineStr">
        <is>
          <t>Cardiovascular</t>
        </is>
      </c>
      <c r="C18" s="17" t="inlineStr">
        <is>
          <t>For the right ventricle, 'afterload' specifically refers to the pressure found in the:</t>
        </is>
      </c>
      <c r="D18" s="12" t="inlineStr">
        <is>
          <t>D</t>
        </is>
      </c>
      <c r="E18" s="17" t="inlineStr">
        <is>
          <t>Afterload is the pressure against which the ventricle must pump. For the right ventricle, this is pulmonary arterial pressure.</t>
        </is>
      </c>
    </row>
    <row r="19">
      <c r="A19" s="19" t="n">
        <v>14</v>
      </c>
      <c r="B19" s="20" t="inlineStr">
        <is>
          <t>Cardiovascular</t>
        </is>
      </c>
      <c r="C19" s="21" t="inlineStr">
        <is>
          <t>Epinephrine (adrenaline) has a highly powerful stimulatory effect on the heart because it has high affinity for:</t>
        </is>
      </c>
      <c r="D19" s="19" t="inlineStr">
        <is>
          <t>C</t>
        </is>
      </c>
      <c r="E19" s="21" t="inlineStr">
        <is>
          <t>Beta-1 adrenergic receptors predominate in the heart and increase heart rate (chronotropy) and contractility (inotropy) when stimulated.</t>
        </is>
      </c>
    </row>
    <row r="20">
      <c r="A20" s="12" t="n">
        <v>15</v>
      </c>
      <c r="B20" s="16" t="inlineStr">
        <is>
          <t>Respiratory</t>
        </is>
      </c>
      <c r="C20" s="17" t="inlineStr">
        <is>
          <t>Where are central chemoreceptors located and what is their primary stimulus?</t>
        </is>
      </c>
      <c r="D20" s="12" t="inlineStr">
        <is>
          <t>B</t>
        </is>
      </c>
      <c r="E20" s="17" t="inlineStr">
        <is>
          <t>Central chemoreceptors are in the medulla and are highly sensitive to H+ in the CSF. Carbon dioxide diffuses across the blood-brain barrier to generate this H+.</t>
        </is>
      </c>
    </row>
    <row r="21">
      <c r="A21" s="19" t="n">
        <v>16</v>
      </c>
      <c r="B21" s="20" t="inlineStr">
        <is>
          <t>Respiratory</t>
        </is>
      </c>
      <c r="C21" s="21" t="inlineStr">
        <is>
          <t>What is the difference between Vital Capacity (VC) and Total Lung Capacity (TLC)?</t>
        </is>
      </c>
      <c r="D21" s="19" t="inlineStr">
        <is>
          <t>C</t>
        </is>
      </c>
      <c r="E21" s="21" t="inlineStr">
        <is>
          <t>Total Lung Capacity includes all air that can be held in the lungs, which is Vital Capacity plus the Residual Volume (air that cannot be forcefully exhaled).</t>
        </is>
      </c>
    </row>
    <row r="22">
      <c r="A22" s="12" t="n">
        <v>17</v>
      </c>
      <c r="B22" s="16" t="inlineStr">
        <is>
          <t>Respiratory</t>
        </is>
      </c>
      <c r="C22" s="17" t="inlineStr">
        <is>
          <t>Which of the following is NOT a physiological function of alveolar surfactant?</t>
        </is>
      </c>
      <c r="D22" s="12" t="inlineStr">
        <is>
          <t>D</t>
        </is>
      </c>
      <c r="E22" s="17" t="inlineStr">
        <is>
          <t>Surfactant acts physically to lower surface tension. Gas exchange/oxygenation occurs via simple diffusion across the respiratory membrane.</t>
        </is>
      </c>
    </row>
    <row r="23">
      <c r="A23" s="19" t="n">
        <v>18</v>
      </c>
      <c r="B23" s="20" t="inlineStr">
        <is>
          <t>Respiratory</t>
        </is>
      </c>
      <c r="C23" s="21" t="inlineStr">
        <is>
          <t>Why is alveolar ventilation a more accurate measure of effective breathing than pulmonary ventilation?</t>
        </is>
      </c>
      <c r="D23" s="19" t="inlineStr">
        <is>
          <t>B</t>
        </is>
      </c>
      <c r="E23" s="21" t="inlineStr">
        <is>
          <t>Alveolar Ventilation = (Tidal Volume - Dead Space) x Respiratory Rate. It measures the actual volume of fresh air reaching the gas-exchange areas.</t>
        </is>
      </c>
    </row>
    <row r="24">
      <c r="A24" s="12" t="n">
        <v>19</v>
      </c>
      <c r="B24" s="16" t="inlineStr">
        <is>
          <t>Respiratory</t>
        </is>
      </c>
      <c r="C24" s="17" t="inlineStr">
        <is>
          <t>What is the direct driving force for pulmonary ventilation?</t>
        </is>
      </c>
      <c r="D24" s="12" t="inlineStr">
        <is>
          <t>C</t>
        </is>
      </c>
      <c r="E24" s="17" t="inlineStr">
        <is>
          <t>The contraction of respiratory muscles is the primary force, but the direct force moving air is the pressure gradient between the atmosphere and alveoli.</t>
        </is>
      </c>
    </row>
    <row r="25">
      <c r="A25" s="19" t="n">
        <v>20</v>
      </c>
      <c r="B25" s="20" t="inlineStr">
        <is>
          <t>Gastrointestinal</t>
        </is>
      </c>
      <c r="C25" s="21" t="inlineStr">
        <is>
          <t>Which of the following is NOT a physiological function of gastric acid (HCl)?</t>
        </is>
      </c>
      <c r="D25" s="19" t="inlineStr">
        <is>
          <t>B</t>
        </is>
      </c>
      <c r="E25" s="21" t="inlineStr">
        <is>
          <t>Parietal cells secrete Intrinsic Factor to bind and absorb Vitamin B12. HCl is responsible for activation of pepsinogen, sterilization, and protein denaturation.</t>
        </is>
      </c>
    </row>
    <row r="26">
      <c r="A26" s="12" t="n">
        <v>21</v>
      </c>
      <c r="B26" s="16" t="inlineStr">
        <is>
          <t>Gastrointestinal</t>
        </is>
      </c>
      <c r="C26" s="17" t="inlineStr">
        <is>
          <t>What is the primary activator that converts pepsinogen to the active digestive enzyme pepsin in the stomach?</t>
        </is>
      </c>
      <c r="D26" s="12" t="inlineStr">
        <is>
          <t>C</t>
        </is>
      </c>
      <c r="E26" s="17" t="inlineStr">
        <is>
          <t>HCl provides the acidic environment necessary for the auto-cleavage of pepsinogen into active pepsin.</t>
        </is>
      </c>
    </row>
    <row r="27">
      <c r="A27" s="19" t="n">
        <v>22</v>
      </c>
      <c r="B27" s="20" t="inlineStr">
        <is>
          <t>Gastrointestinal</t>
        </is>
      </c>
      <c r="C27" s="21" t="inlineStr">
        <is>
          <t>Which specialized cell type functions as the pacemaker for the basic electrical rhythm (BER/slow waves) in GI smooth muscle?</t>
        </is>
      </c>
      <c r="D27" s="19" t="inlineStr">
        <is>
          <t>C</t>
        </is>
      </c>
      <c r="E27" s="21" t="inlineStr">
        <is>
          <t>Interstitial Cells of Cajal (ICC) generate spontaneous slow wave activity, setting the baseline rhythm of GI contractions.</t>
        </is>
      </c>
    </row>
    <row r="28">
      <c r="A28" s="12" t="n">
        <v>23</v>
      </c>
      <c r="B28" s="16" t="inlineStr">
        <is>
          <t>Energy &amp; Temp</t>
        </is>
      </c>
      <c r="C28" s="17" t="inlineStr">
        <is>
          <t>Which factor has the most powerful influence on the rate of total energy metabolism in the human body?</t>
        </is>
      </c>
      <c r="D28" s="12" t="inlineStr">
        <is>
          <t>C</t>
        </is>
      </c>
      <c r="E28" s="17" t="inlineStr">
        <is>
          <t>Muscle contraction increases energy expenditure dramatically (up to 10-20 times basal levels during intense exercise).</t>
        </is>
      </c>
    </row>
    <row r="29">
      <c r="A29" s="19" t="n">
        <v>24</v>
      </c>
      <c r="B29" s="20" t="inlineStr">
        <is>
          <t>Renal Physiology</t>
        </is>
      </c>
      <c r="C29" s="21" t="inlineStr">
        <is>
          <t>The high osmotic pressure gradient in the renal medulla is established and maintained by which two main solutes?</t>
        </is>
      </c>
      <c r="D29" s="19" t="inlineStr">
        <is>
          <t>B</t>
        </is>
      </c>
      <c r="E29" s="21" t="inlineStr">
        <is>
          <t>NaCl (reabsorbed actively in the thick ascending limb) and Urea (recycled from the collecting duct) maintain the hyperosmotic medullary gradient.</t>
        </is>
      </c>
    </row>
    <row r="30">
      <c r="A30" s="12" t="n">
        <v>25</v>
      </c>
      <c r="B30" s="16" t="inlineStr">
        <is>
          <t>Renal Physiology</t>
        </is>
      </c>
      <c r="C30" s="17" t="inlineStr">
        <is>
          <t>Which physiological change directly stimulates the release of Antidiuretic Hormone (ADH) from the posterior pituitary?</t>
        </is>
      </c>
      <c r="D30" s="12" t="inlineStr">
        <is>
          <t>C</t>
        </is>
      </c>
      <c r="E30" s="17" t="inlineStr">
        <is>
          <t>Hypothalamic osmoreceptors detect a rise in plasma osmolality (as small as 1%) and trigger the release of ADH to retain water.</t>
        </is>
      </c>
    </row>
    <row r="31">
      <c r="A31" s="19" t="n">
        <v>26</v>
      </c>
      <c r="B31" s="20" t="inlineStr">
        <is>
          <t>Renal Physiology</t>
        </is>
      </c>
      <c r="C31" s="21" t="inlineStr">
        <is>
          <t>What percentage of filtered water and sodium is reabsorbed in the proximal convoluted tubule?</t>
        </is>
      </c>
      <c r="D31" s="19" t="inlineStr">
        <is>
          <t>C</t>
        </is>
      </c>
      <c r="E31" s="21" t="inlineStr">
        <is>
          <t>The proximal tubule is the workhorse of the nephron, obligatorily reabsorbing roughly 65%-75% of filtered water and solutes.</t>
        </is>
      </c>
    </row>
    <row r="32">
      <c r="A32" s="12" t="n">
        <v>27</v>
      </c>
      <c r="B32" s="16" t="inlineStr">
        <is>
          <t>Neurophysiology</t>
        </is>
      </c>
      <c r="C32" s="17" t="inlineStr">
        <is>
          <t>Damage to the base (bottom) of the cochlear duct primarily impairs the hearing of:</t>
        </is>
      </c>
      <c r="D32" s="12" t="inlineStr">
        <is>
          <t>B</t>
        </is>
      </c>
      <c r="E32" s="17" t="inlineStr">
        <is>
          <t>The base of the cochlea near the oval window is stiff and narrow, responding to high frequencies. The apex is wide and flexible, responding to low frequencies.</t>
        </is>
      </c>
    </row>
    <row r="33">
      <c r="A33" s="19" t="n">
        <v>28</v>
      </c>
      <c r="B33" s="20" t="inlineStr">
        <is>
          <t>Neurophysiology</t>
        </is>
      </c>
      <c r="C33" s="21" t="inlineStr">
        <is>
          <t>Where is the integrating center for the pupillary accommodation reflex located?</t>
        </is>
      </c>
      <c r="D33" s="19" t="inlineStr">
        <is>
          <t>B</t>
        </is>
      </c>
      <c r="E33" s="21" t="inlineStr">
        <is>
          <t>The pupillary accommodation reflex (near response) is integrated in the midbrain (Edinger-Westphal nucleus).</t>
        </is>
      </c>
    </row>
    <row r="34">
      <c r="A34" s="12" t="n">
        <v>29</v>
      </c>
      <c r="B34" s="16" t="inlineStr">
        <is>
          <t>Neurophysiology</t>
        </is>
      </c>
      <c r="C34" s="17" t="inlineStr">
        <is>
          <t>What is the sensory receptor (sensor) for the stretch reflex?</t>
        </is>
      </c>
      <c r="D34" s="12" t="inlineStr">
        <is>
          <t>C</t>
        </is>
      </c>
      <c r="E34" s="17" t="inlineStr">
        <is>
          <t>Muscle spindles detect changes in muscle length (stretch). Golgi tendon organs detect changes in muscle tension.</t>
        </is>
      </c>
    </row>
    <row r="35">
      <c r="A35" s="19" t="n">
        <v>30</v>
      </c>
      <c r="B35" s="20" t="inlineStr">
        <is>
          <t>Endocrine</t>
        </is>
      </c>
      <c r="C35" s="21" t="inlineStr">
        <is>
          <t>What is the most important physiological factor stimulating insulin secretion from pancreatic beta cells?</t>
        </is>
      </c>
      <c r="D35" s="19" t="inlineStr">
        <is>
          <t>B</t>
        </is>
      </c>
      <c r="E35" s="21" t="inlineStr">
        <is>
          <t>While amino acids and parasympathetic input stimulate insulin, a rise in plasma glucose is the primary and most powerful physiological trigger.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2026-08-21T01:44:40Z</dcterms:created>
  <dcterms:modified xmlns:dcterms="http://purl.org/dc/terms/" xmlns:xsi="http://www.w3.org/2001/XMLSchema-instance" xsi:type="dcterms:W3CDTF">2026-08-21T01:44:40Z</dcterms:modified>
</cp:coreProperties>
</file>