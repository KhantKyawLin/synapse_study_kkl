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164" fontId="3" fillId="5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 ht="40" customHeight="1">
      <c r="A1" s="1" t="inlineStr">
        <is>
          <t>Pediatric Board Examination — Module 1 Interactive Quiz</t>
        </is>
      </c>
    </row>
    <row r="3" ht="25" customHeight="1">
      <c r="A3" s="2" t="inlineStr">
        <is>
          <t>Workbook Information &amp; Metadata</t>
        </is>
      </c>
    </row>
    <row r="4" ht="20" customHeight="1">
      <c r="A4" s="3" t="inlineStr">
        <is>
          <t>Module Name:</t>
        </is>
      </c>
      <c r="B4" s="4" t="inlineStr">
        <is>
          <t>Module 1: Neonatology, Resuscitation &amp; Developmental Pediatrics</t>
        </is>
      </c>
    </row>
    <row r="5" ht="20" customHeight="1">
      <c r="A5" s="3" t="inlineStr">
        <is>
          <t>Version Stamp:</t>
        </is>
      </c>
      <c r="B5" s="4" t="inlineStr">
        <is>
          <t>v1.0 (Generated 2026-10-28)</t>
        </is>
      </c>
    </row>
    <row r="6" ht="20" customHeight="1">
      <c r="A6" s="3" t="inlineStr">
        <is>
          <t>Target Audience:</t>
        </is>
      </c>
      <c r="B6" s="4" t="inlineStr">
        <is>
          <t>Final Year Medical Students / Pediatric Board Candidates</t>
        </is>
      </c>
    </row>
    <row r="7" ht="20" customHeight="1">
      <c r="A7" s="3" t="inlineStr">
        <is>
          <t>Question Count:</t>
        </is>
      </c>
      <c r="B7" s="4" t="inlineStr">
        <is>
          <t>30 High-Yield Board Style Clinical Scenarios (MCQs)</t>
        </is>
      </c>
    </row>
    <row r="8" ht="20" customHeight="1">
      <c r="A8" s="3" t="inlineStr">
        <is>
          <t>Primary Sources:</t>
        </is>
      </c>
      <c r="B8" s="4" t="inlineStr">
        <is>
          <t>Pediatrics (FP-2) Notebook — M1W1, M1W7, M2W3, M2W4</t>
        </is>
      </c>
    </row>
    <row r="10" ht="25" customHeight="1">
      <c r="A10" s="2" t="inlineStr">
        <is>
          <t>Formatting Legend &amp; Color Convention</t>
        </is>
      </c>
    </row>
    <row r="11" ht="22" customHeight="1">
      <c r="A11" s="5" t="inlineStr">
        <is>
          <t>Light Blue (#DCE6F1)</t>
        </is>
      </c>
      <c r="B11" s="3" t="inlineStr">
        <is>
          <t>Student Input Cells</t>
        </is>
      </c>
      <c r="C11" s="4" t="inlineStr">
        <is>
          <t>Column H in Interactive Quiz tab (Data Validation Restricted to A, B, C, D, E)</t>
        </is>
      </c>
    </row>
    <row r="12" ht="22" customHeight="1">
      <c r="A12" s="6" t="inlineStr">
        <is>
          <t>Light Green (#E2EFDA)</t>
        </is>
      </c>
      <c r="B12" s="3" t="inlineStr">
        <is>
          <t>Computed Formulas &amp; Scorecard</t>
        </is>
      </c>
      <c r="C12" s="4" t="inlineStr">
        <is>
          <t>Automated real-time grading and performance metrics</t>
        </is>
      </c>
    </row>
    <row r="13" ht="22" customHeight="1">
      <c r="A13" s="7" t="inlineStr">
        <is>
          <t>Light Gray (#F2F2F2)</t>
        </is>
      </c>
      <c r="B13" s="3" t="inlineStr">
        <is>
          <t>Zebra Banding</t>
        </is>
      </c>
      <c r="C13" s="4" t="inlineStr">
        <is>
          <t>Alternate row shading for optimal visual tracking</t>
        </is>
      </c>
    </row>
    <row r="14" ht="22" customHeight="1">
      <c r="A14" s="5" t="inlineStr">
        <is>
          <t>Dark Blue (#2F5496)</t>
        </is>
      </c>
      <c r="B14" s="3" t="inlineStr">
        <is>
          <t>Headers &amp; Totals</t>
        </is>
      </c>
      <c r="C14" s="4" t="inlineStr">
        <is>
          <t>Section banners, summary cards, and primary table headers</t>
        </is>
      </c>
    </row>
    <row r="16" ht="25" customHeight="1">
      <c r="A16" s="2" t="inlineStr">
        <is>
          <t>Navigation Links</t>
        </is>
      </c>
    </row>
    <row r="17">
      <c r="A17" s="3" t="inlineStr">
        <is>
          <t>Interactive Quiz (Student Portal)</t>
        </is>
      </c>
      <c r="B17" s="3">
        <f>HYPERLINK("#'Interactive Quiz'!A1", "Go to Quiz →")</f>
        <v/>
      </c>
    </row>
    <row r="18">
      <c r="A18" s="3" t="inlineStr">
        <is>
          <t>Answer Key &amp; Explanations (Instructor Portal)</t>
        </is>
      </c>
      <c r="B18" s="3">
        <f>HYPERLINK("#'Answer Key &amp; Explanations'!A1", "Go to Answer Key →")</f>
        <v/>
      </c>
    </row>
  </sheetData>
  <mergeCells count="4">
    <mergeCell ref="A16:E16"/>
    <mergeCell ref="A10:E1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4" customWidth="1" min="8" max="8"/>
    <col width="20" customWidth="1" min="9" max="9"/>
  </cols>
  <sheetData>
    <row r="1" ht="40" customHeight="1">
      <c r="A1" s="1" t="inlineStr">
        <is>
          <t>Pediatric Board Examination — Module 1 Student Quiz Portal</t>
        </is>
      </c>
    </row>
    <row r="3" ht="22" customHeight="1">
      <c r="B3" s="2" t="inlineStr">
        <is>
          <t>AUTOMATED SCORECARD &amp; PERFORMANCE METRICS</t>
        </is>
      </c>
    </row>
    <row r="4" ht="20" customHeight="1">
      <c r="B4" s="3" t="inlineStr">
        <is>
          <t>Questions Attempted:</t>
        </is>
      </c>
      <c r="C4" s="6">
        <f>COUNTA(H9:H38)</f>
        <v/>
      </c>
    </row>
    <row r="5" ht="20" customHeight="1">
      <c r="B5" s="3" t="inlineStr">
        <is>
          <t>Correct Answers:</t>
        </is>
      </c>
      <c r="C5" s="6">
        <f>COUNTIF(I9:I38, "*Correct*")</f>
        <v/>
      </c>
    </row>
    <row r="6" ht="20" customHeight="1">
      <c r="B6" s="3" t="inlineStr">
        <is>
          <t>Overall Grade %:</t>
        </is>
      </c>
      <c r="C6" s="8">
        <f>IF(C4=0, 0, C5/30)</f>
        <v/>
      </c>
    </row>
    <row r="8" ht="28" customHeight="1">
      <c r="A8" s="9" t="inlineStr">
        <is>
          <t>Q#</t>
        </is>
      </c>
      <c r="B8" s="9" t="inlineStr">
        <is>
          <t>Clinical Vignette / Question Stem</t>
        </is>
      </c>
      <c r="C8" s="9" t="inlineStr">
        <is>
          <t>Option A</t>
        </is>
      </c>
      <c r="D8" s="9" t="inlineStr">
        <is>
          <t>Option B</t>
        </is>
      </c>
      <c r="E8" s="9" t="inlineStr">
        <is>
          <t>Option C</t>
        </is>
      </c>
      <c r="F8" s="9" t="inlineStr">
        <is>
          <t>Option D</t>
        </is>
      </c>
      <c r="G8" s="9" t="inlineStr">
        <is>
          <t>Option E</t>
        </is>
      </c>
      <c r="H8" s="9" t="inlineStr">
        <is>
          <t>Your Answer</t>
        </is>
      </c>
      <c r="I8" s="9" t="inlineStr">
        <is>
          <t>Real-Time Grade</t>
        </is>
      </c>
    </row>
    <row r="9" ht="45" customHeight="1">
      <c r="A9" s="10" t="n">
        <v>1</v>
      </c>
      <c r="B9" s="11" t="inlineStr">
        <is>
          <t>A newborn infant is assessed immediately after birth. The birth weight is recorded as 2,100 g at 38 weeks of gestation. How is this infant classified based on birth weight?</t>
        </is>
      </c>
      <c r="C9" s="11" t="inlineStr">
        <is>
          <t>A. Extremely Low Birth Weight (ELBW)</t>
        </is>
      </c>
      <c r="D9" s="11" t="inlineStr">
        <is>
          <t>B. Very Low Birth Weight (VLBW)</t>
        </is>
      </c>
      <c r="E9" s="11" t="inlineStr">
        <is>
          <t>C. Low Birth Weight (LBW)</t>
        </is>
      </c>
      <c r="F9" s="11" t="inlineStr">
        <is>
          <t>D. Normal Birth Weight</t>
        </is>
      </c>
      <c r="G9" s="11" t="inlineStr">
        <is>
          <t>E. Very High Birth Weight</t>
        </is>
      </c>
      <c r="H9" s="12" t="n"/>
      <c r="I9" s="13">
        <f>IF(ISBLANK(H9), "", IF(H9='Answer Key &amp; Explanations'!C9, "✅ Correct", "❌ Incorrect (See Key)"))</f>
        <v/>
      </c>
    </row>
    <row r="10" ht="45" customHeight="1">
      <c r="A10" s="14" t="n">
        <v>2</v>
      </c>
      <c r="B10" s="15" t="inlineStr">
        <is>
          <t>What is the clinical definition of a preterm birth according to WHO guidelines?</t>
        </is>
      </c>
      <c r="C10" s="15" t="inlineStr">
        <is>
          <t>A. Delivery before 32 completed weeks</t>
        </is>
      </c>
      <c r="D10" s="15" t="inlineStr">
        <is>
          <t>B. Delivery before 35 completed weeks</t>
        </is>
      </c>
      <c r="E10" s="15" t="inlineStr">
        <is>
          <t>C. Delivery before 37 completed weeks (&lt;37+0 weeks)</t>
        </is>
      </c>
      <c r="F10" s="15" t="inlineStr">
        <is>
          <t>D. Delivery before 38 completed weeks</t>
        </is>
      </c>
      <c r="G10" s="15" t="inlineStr">
        <is>
          <t>E. Delivery before 40 completed weeks</t>
        </is>
      </c>
      <c r="H10" s="12" t="n"/>
      <c r="I10" s="13">
        <f>IF(ISBLANK(H10), "", IF(H10='Answer Key &amp; Explanations'!C10, "✅ Correct", "❌ Incorrect (See Key)"))</f>
        <v/>
      </c>
    </row>
    <row r="11" ht="45" customHeight="1">
      <c r="A11" s="10" t="n">
        <v>3</v>
      </c>
      <c r="B11" s="11" t="inlineStr">
        <is>
          <t>An infant delivered at term has a birth weight of 850 g. What is the correct birth weight classification for this neonate?</t>
        </is>
      </c>
      <c r="C11" s="11" t="inlineStr">
        <is>
          <t>A. Extremely Low Birth Weight (ELBW)</t>
        </is>
      </c>
      <c r="D11" s="11" t="inlineStr">
        <is>
          <t>B. Very Low Birth Weight (VLBW)</t>
        </is>
      </c>
      <c r="E11" s="11" t="inlineStr">
        <is>
          <t>C. Low Birth Weight (LBW) only</t>
        </is>
      </c>
      <c r="F11" s="11" t="inlineStr">
        <is>
          <t>D. Small for Gestational Age only</t>
        </is>
      </c>
      <c r="G11" s="11" t="inlineStr">
        <is>
          <t>E. Normal Birth Weight</t>
        </is>
      </c>
      <c r="H11" s="12" t="n"/>
      <c r="I11" s="13">
        <f>IF(ISBLANK(H11), "", IF(H11='Answer Key &amp; Explanations'!C11, "✅ Correct", "❌ Incorrect (See Key)"))</f>
        <v/>
      </c>
    </row>
    <row r="12" ht="45" customHeight="1">
      <c r="A12" s="14" t="n">
        <v>4</v>
      </c>
      <c r="B12" s="15" t="inlineStr">
        <is>
          <t>Which of the following birth weights strictly defines a Very Low Birth Weight (VLBW) infant?</t>
        </is>
      </c>
      <c r="C12" s="15" t="inlineStr">
        <is>
          <t>A. Birth weight &lt; 2,500 g</t>
        </is>
      </c>
      <c r="D12" s="15" t="inlineStr">
        <is>
          <t>B. Birth weight &lt; 2,000 g</t>
        </is>
      </c>
      <c r="E12" s="15" t="inlineStr">
        <is>
          <t>C. Birth weight &lt; 1,500 g</t>
        </is>
      </c>
      <c r="F12" s="15" t="inlineStr">
        <is>
          <t>D. Birth weight &lt; 1,000 g</t>
        </is>
      </c>
      <c r="G12" s="15" t="inlineStr">
        <is>
          <t>E. Birth weight &lt; 750 g</t>
        </is>
      </c>
      <c r="H12" s="12" t="n"/>
      <c r="I12" s="13">
        <f>IF(ISBLANK(H12), "", IF(H12='Answer Key &amp; Explanations'!C12, "✅ Correct", "❌ Incorrect (See Key)"))</f>
        <v/>
      </c>
    </row>
    <row r="13" ht="45" customHeight="1">
      <c r="A13" s="10" t="n">
        <v>5</v>
      </c>
      <c r="B13" s="11" t="inlineStr">
        <is>
          <t>An infant's birth weight falls below the 10th percentile for their specific gestational age. What is the correct clinical designation?</t>
        </is>
      </c>
      <c r="C13" s="11" t="inlineStr">
        <is>
          <t>A. Very Low Birth Weight</t>
        </is>
      </c>
      <c r="D13" s="11" t="inlineStr">
        <is>
          <t>B. Small for Gestational Age (SGA)</t>
        </is>
      </c>
      <c r="E13" s="11" t="inlineStr">
        <is>
          <t>C. Premature</t>
        </is>
      </c>
      <c r="F13" s="11" t="inlineStr">
        <is>
          <t>D. Dysmature only</t>
        </is>
      </c>
      <c r="G13" s="11" t="inlineStr">
        <is>
          <t>E. Microcephalic</t>
        </is>
      </c>
      <c r="H13" s="12" t="n"/>
      <c r="I13" s="13">
        <f>IF(ISBLANK(H13), "", IF(H13='Answer Key &amp; Explanations'!C13, "✅ Correct", "❌ Incorrect (See Key)"))</f>
        <v/>
      </c>
    </row>
    <row r="14" ht="45" customHeight="1">
      <c r="A14" s="14" t="n">
        <v>6</v>
      </c>
      <c r="B14" s="15" t="inlineStr">
        <is>
          <t>During newborn resuscitation ('Golden Minute'), what are the essential initial steps performed immediately after delivery?</t>
        </is>
      </c>
      <c r="C14" s="15" t="inlineStr">
        <is>
          <t>A. Immediate chest compressions and IV adrenaline</t>
        </is>
      </c>
      <c r="D14" s="15" t="inlineStr">
        <is>
          <t>B. Immediate endotracheal intubation and oxygen</t>
        </is>
      </c>
      <c r="E14" s="15" t="inlineStr">
        <is>
          <t>C. Provide warmth, position airway, clear secretions if obstructed, dry thoroughly, and stimulate</t>
        </is>
      </c>
      <c r="F14" s="15" t="inlineStr">
        <is>
          <t>D. Administer 100% oxygen via bag-valve mask for 2 minutes</t>
        </is>
      </c>
      <c r="G14" s="15" t="inlineStr">
        <is>
          <t>E. Naloxone administration and umbilical line insertion</t>
        </is>
      </c>
      <c r="H14" s="12" t="n"/>
      <c r="I14" s="13">
        <f>IF(ISBLANK(H14), "", IF(H14='Answer Key &amp; Explanations'!C14, "✅ Correct", "❌ Incorrect (See Key)"))</f>
        <v/>
      </c>
    </row>
    <row r="15" ht="45" customHeight="1">
      <c r="A15" s="10" t="n">
        <v>7</v>
      </c>
      <c r="B15" s="11" t="inlineStr">
        <is>
          <t>A newly delivered neonate is apneic and has a heart rate of 80 beats per minute at 30 seconds of life despite drying and stimulation. What is the immediate next intervention?</t>
        </is>
      </c>
      <c r="C15" s="11" t="inlineStr">
        <is>
          <t>A. Continue tactile stimulation for another 60 seconds</t>
        </is>
      </c>
      <c r="D15" s="11" t="inlineStr">
        <is>
          <t>B. Initiate Positive Pressure Ventilation (PPV) with room air (21% O2)</t>
        </is>
      </c>
      <c r="E15" s="11" t="inlineStr">
        <is>
          <t>C. Start chest compressions at 3:1 ratio</t>
        </is>
      </c>
      <c r="F15" s="11" t="inlineStr">
        <is>
          <t>D. Administer IV Adrenaline via umbilical vein</t>
        </is>
      </c>
      <c r="G15" s="11" t="inlineStr">
        <is>
          <t>E. Apply nasal CPAP at 10 cmH2O</t>
        </is>
      </c>
      <c r="H15" s="12" t="n"/>
      <c r="I15" s="13">
        <f>IF(ISBLANK(H15), "", IF(H15='Answer Key &amp; Explanations'!C15, "✅ Correct", "❌ Incorrect (See Key)"))</f>
        <v/>
      </c>
    </row>
    <row r="16" ht="45" customHeight="1">
      <c r="A16" s="14" t="n">
        <v>8</v>
      </c>
      <c r="B16" s="15" t="inlineStr">
        <is>
          <t>What is the recommended chest compression-to-ventilation ratio for neonatal resuscitation?</t>
        </is>
      </c>
      <c r="C16" s="15" t="inlineStr">
        <is>
          <t>A. 30:2</t>
        </is>
      </c>
      <c r="D16" s="15" t="inlineStr">
        <is>
          <t>B. 15:2</t>
        </is>
      </c>
      <c r="E16" s="15" t="inlineStr">
        <is>
          <t>C. 5:1</t>
        </is>
      </c>
      <c r="F16" s="15" t="inlineStr">
        <is>
          <t>D. 3:1</t>
        </is>
      </c>
      <c r="G16" s="15" t="inlineStr">
        <is>
          <t>E. Continuous compressions without ventilation</t>
        </is>
      </c>
      <c r="H16" s="12" t="n"/>
      <c r="I16" s="13">
        <f>IF(ISBLANK(H16), "", IF(H16='Answer Key &amp; Explanations'!C16, "✅ Correct", "❌ Incorrect (See Key)"))</f>
        <v/>
      </c>
    </row>
    <row r="17" ht="45" customHeight="1">
      <c r="A17" s="10" t="n">
        <v>9</v>
      </c>
      <c r="B17" s="11" t="inlineStr">
        <is>
          <t>Chest compressions are indicated in a newborn during resuscitation if the heart rate remains below what threshold despite 30 seconds of effective PPV?</t>
        </is>
      </c>
      <c r="C17" s="11" t="inlineStr">
        <is>
          <t>A. &lt; 100 beats/min</t>
        </is>
      </c>
      <c r="D17" s="11" t="inlineStr">
        <is>
          <t>B. &lt; 80 beats/min</t>
        </is>
      </c>
      <c r="E17" s="11" t="inlineStr">
        <is>
          <t>C. &lt; 60 beats/min</t>
        </is>
      </c>
      <c r="F17" s="11" t="inlineStr">
        <is>
          <t>D. &lt; 40 beats/min</t>
        </is>
      </c>
      <c r="G17" s="11" t="inlineStr">
        <is>
          <t>E. &lt; 20 beats/min</t>
        </is>
      </c>
      <c r="H17" s="12" t="n"/>
      <c r="I17" s="13">
        <f>IF(ISBLANK(H17), "", IF(H17='Answer Key &amp; Explanations'!C17, "✅ Correct", "❌ Incorrect (See Key)"))</f>
        <v/>
      </c>
    </row>
    <row r="18" ht="45" customHeight="1">
      <c r="A18" s="14" t="n">
        <v>10</v>
      </c>
      <c r="B18" s="15" t="inlineStr">
        <is>
          <t>Which technique is correct for inserting a Guedel airway in a neonate or infant to prevent soft tissue trauma?</t>
        </is>
      </c>
      <c r="C18" s="15" t="inlineStr">
        <is>
          <t>A. Insert upside down (concavity upwards) and rotate 180 degrees</t>
        </is>
      </c>
      <c r="D18" s="15" t="inlineStr">
        <is>
          <t>B. Insert concavity facing downwards (right-side up) following the natural airway curve, assisted by a tongue depressor</t>
        </is>
      </c>
      <c r="E18" s="15" t="inlineStr">
        <is>
          <t>C. Insert halfway, rotate 90 degrees, and push inward</t>
        </is>
      </c>
      <c r="F18" s="15" t="inlineStr">
        <is>
          <t>D. Insert concavity facing upwards and rotate 270 degrees</t>
        </is>
      </c>
      <c r="G18" s="15" t="inlineStr">
        <is>
          <t>E. Guedel airways are strictly contraindicated in all neonates</t>
        </is>
      </c>
      <c r="H18" s="12" t="n"/>
      <c r="I18" s="13">
        <f>IF(ISBLANK(H18), "", IF(H18='Answer Key &amp; Explanations'!C18, "✅ Correct", "❌ Incorrect (See Key)"))</f>
        <v/>
      </c>
    </row>
    <row r="19" ht="45" customHeight="1">
      <c r="A19" s="10" t="n">
        <v>11</v>
      </c>
      <c r="B19" s="11" t="inlineStr">
        <is>
          <t>A full-term newborn develops visible jaundice at 12 hours of life. What is the classification of this jaundice?</t>
        </is>
      </c>
      <c r="C19" s="11" t="inlineStr">
        <is>
          <t>A. Physiological jaundice</t>
        </is>
      </c>
      <c r="D19" s="11" t="inlineStr">
        <is>
          <t>B. Breast milk jaundice</t>
        </is>
      </c>
      <c r="E19" s="11" t="inlineStr">
        <is>
          <t>C. Pathological jaundice</t>
        </is>
      </c>
      <c r="F19" s="11" t="inlineStr">
        <is>
          <t>D. Breastfeeding failure jaundice</t>
        </is>
      </c>
      <c r="G19" s="11" t="inlineStr">
        <is>
          <t>E. Normal neonatal adaptation</t>
        </is>
      </c>
      <c r="H19" s="12" t="n"/>
      <c r="I19" s="13">
        <f>IF(ISBLANK(H19), "", IF(H19='Answer Key &amp; Explanations'!C19, "✅ Correct", "❌ Incorrect (See Key)"))</f>
        <v/>
      </c>
    </row>
    <row r="20" ht="45" customHeight="1">
      <c r="A20" s="14" t="n">
        <v>12</v>
      </c>
      <c r="B20" s="15" t="inlineStr">
        <is>
          <t>What is the most severe neurological complication of untreated severe indirect hyperbilirubinemia in a neonate?</t>
        </is>
      </c>
      <c r="C20" s="15" t="inlineStr">
        <is>
          <t>A. Cerebral palsy - spastic hemiplegia</t>
        </is>
      </c>
      <c r="D20" s="15" t="inlineStr">
        <is>
          <t>B. Kernicterus (Bilirubin-Induced Neurologic Dysfunction / BIND)</t>
        </is>
      </c>
      <c r="E20" s="15" t="inlineStr">
        <is>
          <t>C. Subdural hematoma</t>
        </is>
      </c>
      <c r="F20" s="15" t="inlineStr">
        <is>
          <t>D. Hypoxic ischemic encephalopathy</t>
        </is>
      </c>
      <c r="G20" s="15" t="inlineStr">
        <is>
          <t>E. Hydrocephalus</t>
        </is>
      </c>
      <c r="H20" s="12" t="n"/>
      <c r="I20" s="13">
        <f>IF(ISBLANK(H20), "", IF(H20='Answer Key &amp; Explanations'!C20, "✅ Correct", "❌ Incorrect (See Key)"))</f>
        <v/>
      </c>
    </row>
    <row r="21" ht="45" customHeight="1">
      <c r="A21" s="10" t="n">
        <v>13</v>
      </c>
      <c r="B21" s="11" t="inlineStr">
        <is>
          <t>What light wavelength spectrum provides maximal effectiveness during phototherapy for neonatal jaundice?</t>
        </is>
      </c>
      <c r="C21" s="11" t="inlineStr">
        <is>
          <t>A. Ultraviolet light (200–300 nm)</t>
        </is>
      </c>
      <c r="D21" s="11" t="inlineStr">
        <is>
          <t>B. Blue-green light (460–490 nm)</t>
        </is>
      </c>
      <c r="E21" s="11" t="inlineStr">
        <is>
          <t>C. Infrared light (700–900 nm)</t>
        </is>
      </c>
      <c r="F21" s="11" t="inlineStr">
        <is>
          <t>D. Red light (620–750 nm)</t>
        </is>
      </c>
      <c r="G21" s="11" t="inlineStr">
        <is>
          <t>E. Yellow light (570–590 nm)</t>
        </is>
      </c>
      <c r="H21" s="12" t="n"/>
      <c r="I21" s="13">
        <f>IF(ISBLANK(H21), "", IF(H21='Answer Key &amp; Explanations'!C21, "✅ Correct", "❌ Incorrect (See Key)"))</f>
        <v/>
      </c>
    </row>
    <row r="22" ht="45" customHeight="1">
      <c r="A22" s="14" t="n">
        <v>14</v>
      </c>
      <c r="B22" s="15" t="inlineStr">
        <is>
          <t>Which procedure is indicated when serum bilirubin reaches critical exchange thresholds to rapidly remove antibody-coated RBCs and circulating bilirubin?</t>
        </is>
      </c>
      <c r="C22" s="15" t="inlineStr">
        <is>
          <t>A. Double-volume exchange transfusion (DVET)</t>
        </is>
      </c>
      <c r="D22" s="15" t="inlineStr">
        <is>
          <t>B. Single-unit packed red cell transfusion</t>
        </is>
      </c>
      <c r="E22" s="15" t="inlineStr">
        <is>
          <t>C. Fresh frozen plasma infusion</t>
        </is>
      </c>
      <c r="F22" s="15" t="inlineStr">
        <is>
          <t>D. IV Albumin infusion alone</t>
        </is>
      </c>
      <c r="G22" s="15" t="inlineStr">
        <is>
          <t>E. Whole blood venesection</t>
        </is>
      </c>
      <c r="H22" s="12" t="n"/>
      <c r="I22" s="13">
        <f>IF(ISBLANK(H22), "", IF(H22='Answer Key &amp; Explanations'!C22, "✅ Correct", "❌ Incorrect (See Key)"))</f>
        <v/>
      </c>
    </row>
    <row r="23" ht="45" customHeight="1">
      <c r="A23" s="10" t="n">
        <v>15</v>
      </c>
      <c r="B23" s="11" t="inlineStr">
        <is>
          <t>What operational time frame defines Early-Onset Neonatal Sepsis (EOS)?</t>
        </is>
      </c>
      <c r="C23" s="11" t="inlineStr">
        <is>
          <t>A. Onset within the first 24 hours of life</t>
        </is>
      </c>
      <c r="D23" s="11" t="inlineStr">
        <is>
          <t>B. Onset within the first 72 hours of life (&lt; 72 hours)</t>
        </is>
      </c>
      <c r="E23" s="11" t="inlineStr">
        <is>
          <t>C. Onset between 7 days and 28 days of life</t>
        </is>
      </c>
      <c r="F23" s="11" t="inlineStr">
        <is>
          <t>D. Onset after 30 days of life</t>
        </is>
      </c>
      <c r="G23" s="11" t="inlineStr">
        <is>
          <t>E. Onset strictly at delivery</t>
        </is>
      </c>
      <c r="H23" s="12" t="n"/>
      <c r="I23" s="13">
        <f>IF(ISBLANK(H23), "", IF(H23='Answer Key &amp; Explanations'!C23, "✅ Correct", "❌ Incorrect (See Key)"))</f>
        <v/>
      </c>
    </row>
    <row r="24" ht="45" customHeight="1">
      <c r="A24" s="14" t="n">
        <v>16</v>
      </c>
      <c r="B24" s="15" t="inlineStr">
        <is>
          <t>A mother has intrapartum fever of 38.5°C and rupture of membranes for 24 hours prior to delivery. What are these major risk factors for in the newborn?</t>
        </is>
      </c>
      <c r="C24" s="15" t="inlineStr">
        <is>
          <t>A. Transient Tachypnea of the Newborn</t>
        </is>
      </c>
      <c r="D24" s="15" t="inlineStr">
        <is>
          <t>B. Early-Onset Neonatal Sepsis and Congenital Pneumonia</t>
        </is>
      </c>
      <c r="E24" s="15" t="inlineStr">
        <is>
          <t>C. Hyaline Membrane Disease</t>
        </is>
      </c>
      <c r="F24" s="15" t="inlineStr">
        <is>
          <t>D. Congenital Heart Disease</t>
        </is>
      </c>
      <c r="G24" s="15" t="inlineStr">
        <is>
          <t>E. Meconium Aspiration Syndrome</t>
        </is>
      </c>
      <c r="H24" s="12" t="n"/>
      <c r="I24" s="13">
        <f>IF(ISBLANK(H24), "", IF(H24='Answer Key &amp; Explanations'!C24, "✅ Correct", "❌ Incorrect (See Key)"))</f>
        <v/>
      </c>
    </row>
    <row r="25" ht="45" customHeight="1">
      <c r="A25" s="10" t="n">
        <v>17</v>
      </c>
      <c r="B25" s="11" t="inlineStr">
        <is>
          <t>Which blood count finding strongly suggests neonatal sepsis?</t>
        </is>
      </c>
      <c r="C25" s="11" t="inlineStr">
        <is>
          <t>A. Immature-to-total (I:T) neutrophil ratio &gt; 0.2</t>
        </is>
      </c>
      <c r="D25" s="11" t="inlineStr">
        <is>
          <t>B. Hemoglobin &gt; 18 g/dL</t>
        </is>
      </c>
      <c r="E25" s="11" t="inlineStr">
        <is>
          <t>C. Platelet count of 350,000/microL</t>
        </is>
      </c>
      <c r="F25" s="11" t="inlineStr">
        <is>
          <t>D. Normal total leukocyte count</t>
        </is>
      </c>
      <c r="G25" s="11" t="inlineStr">
        <is>
          <t>E. Eosinophilia &gt; 10%</t>
        </is>
      </c>
      <c r="H25" s="12" t="n"/>
      <c r="I25" s="13">
        <f>IF(ISBLANK(H25), "", IF(H25='Answer Key &amp; Explanations'!C25, "✅ Correct", "❌ Incorrect (See Key)"))</f>
        <v/>
      </c>
    </row>
    <row r="26" ht="45" customHeight="1">
      <c r="A26" s="14" t="n">
        <v>18</v>
      </c>
      <c r="B26" s="15" t="inlineStr">
        <is>
          <t>What is the recommended empirical first-line intravenous antibiotic combination for suspected Early-Onset Neonatal Sepsis?</t>
        </is>
      </c>
      <c r="C26" s="15" t="inlineStr">
        <is>
          <t>A. IV Ceftriaxone + IV Vancomycin</t>
        </is>
      </c>
      <c r="D26" s="15" t="inlineStr">
        <is>
          <t>B. IV Ampicillin (or Penicillin G) + IV Gentamicin</t>
        </is>
      </c>
      <c r="E26" s="15" t="inlineStr">
        <is>
          <t>C. IV Ciprofloxacin + IV Metronidazole</t>
        </is>
      </c>
      <c r="F26" s="15" t="inlineStr">
        <is>
          <t>D. Oral Amoxicillin + Oral Erythromycin</t>
        </is>
      </c>
      <c r="G26" s="15" t="inlineStr">
        <is>
          <t>E. IV Meropenem alone</t>
        </is>
      </c>
      <c r="H26" s="12" t="n"/>
      <c r="I26" s="13">
        <f>IF(ISBLANK(H26), "", IF(H26='Answer Key &amp; Explanations'!C26, "✅ Correct", "❌ Incorrect (See Key)"))</f>
        <v/>
      </c>
    </row>
    <row r="27" ht="45" customHeight="1">
      <c r="A27" s="10" t="n">
        <v>19</v>
      </c>
      <c r="B27" s="11" t="inlineStr">
        <is>
          <t>A term neonate presents at 3 hours of life with grunting, tachypnea (RR 75/min), and intercostal retractions. Mother had PROM for 26 hours. What is the most likely diagnosis?</t>
        </is>
      </c>
      <c r="C27" s="11" t="inlineStr">
        <is>
          <t>A. Hyaline Membrane Disease</t>
        </is>
      </c>
      <c r="D27" s="11" t="inlineStr">
        <is>
          <t>B. Congenital Pneumonia / Early-Onset Sepsis</t>
        </is>
      </c>
      <c r="E27" s="11" t="inlineStr">
        <is>
          <t>C. Meconium Aspiration Syndrome</t>
        </is>
      </c>
      <c r="F27" s="11" t="inlineStr">
        <is>
          <t>D. Congenital Diaphragmatic Hernia</t>
        </is>
      </c>
      <c r="G27" s="11" t="inlineStr">
        <is>
          <t>E. Pulmonary Sequestration</t>
        </is>
      </c>
      <c r="H27" s="12" t="n"/>
      <c r="I27" s="13">
        <f>IF(ISBLANK(H27), "", IF(H27='Answer Key &amp; Explanations'!C27, "✅ Correct", "❌ Incorrect (See Key)"))</f>
        <v/>
      </c>
    </row>
    <row r="28" ht="45" customHeight="1">
      <c r="A28" s="14" t="n">
        <v>20</v>
      </c>
      <c r="B28" s="15" t="inlineStr">
        <is>
          <t>A full-term infant born after severe birth asphyxia exhibits lethargy, hypotonia, weak sucking, and focal seizures at 12 hours of life. What stage of Sarnat HIE is this?</t>
        </is>
      </c>
      <c r="C28" s="15" t="inlineStr">
        <is>
          <t>A. Stage I (Mild HIE)</t>
        </is>
      </c>
      <c r="D28" s="15" t="inlineStr">
        <is>
          <t>B. Stage II (Moderate HIE)</t>
        </is>
      </c>
      <c r="E28" s="15" t="inlineStr">
        <is>
          <t>C. Stage III (Severe HIE)</t>
        </is>
      </c>
      <c r="F28" s="15" t="inlineStr">
        <is>
          <t>D. Stage IV</t>
        </is>
      </c>
      <c r="G28" s="15" t="inlineStr">
        <is>
          <t>E. Normal recovery</t>
        </is>
      </c>
      <c r="H28" s="12" t="n"/>
      <c r="I28" s="13">
        <f>IF(ISBLANK(H28), "", IF(H28='Answer Key &amp; Explanations'!C28, "✅ Correct", "❌ Incorrect (See Key)"))</f>
        <v/>
      </c>
    </row>
    <row r="29" ht="45" customHeight="1">
      <c r="A29" s="10" t="n">
        <v>21</v>
      </c>
      <c r="B29" s="11" t="inlineStr">
        <is>
          <t>Therapeutic hypothermia (cooling to 33.5°C for 72 hours) for HIE must be initiated within what time window after birth to achieve neuroprotection?</t>
        </is>
      </c>
      <c r="C29" s="11" t="inlineStr">
        <is>
          <t>A. Within 6 hours of birth</t>
        </is>
      </c>
      <c r="D29" s="11" t="inlineStr">
        <is>
          <t>B. Within 12 hours of birth</t>
        </is>
      </c>
      <c r="E29" s="11" t="inlineStr">
        <is>
          <t>C. Within 24 hours of birth</t>
        </is>
      </c>
      <c r="F29" s="11" t="inlineStr">
        <is>
          <t>D. Within 48 hours of birth</t>
        </is>
      </c>
      <c r="G29" s="11" t="inlineStr">
        <is>
          <t>E. Anytime within the first week</t>
        </is>
      </c>
      <c r="H29" s="12" t="n"/>
      <c r="I29" s="13">
        <f>IF(ISBLANK(H29), "", IF(H29='Answer Key &amp; Explanations'!C29, "✅ Correct", "❌ Incorrect (See Key)"))</f>
        <v/>
      </c>
    </row>
    <row r="30" ht="45" customHeight="1">
      <c r="A30" s="14" t="n">
        <v>22</v>
      </c>
      <c r="B30" s="15" t="inlineStr">
        <is>
          <t>A child can hold their head steady when upright, vocalizes with cooing sounds, and shows a social smile. At what age are these developmental milestones expected?</t>
        </is>
      </c>
      <c r="C30" s="15" t="inlineStr">
        <is>
          <t>A. 1 month</t>
        </is>
      </c>
      <c r="D30" s="15" t="inlineStr">
        <is>
          <t>B. 3 months</t>
        </is>
      </c>
      <c r="E30" s="15" t="inlineStr">
        <is>
          <t>C. 6 months</t>
        </is>
      </c>
      <c r="F30" s="15" t="inlineStr">
        <is>
          <t>D. 9 months</t>
        </is>
      </c>
      <c r="G30" s="15" t="inlineStr">
        <is>
          <t>E. 12 months</t>
        </is>
      </c>
      <c r="H30" s="12" t="n"/>
      <c r="I30" s="13">
        <f>IF(ISBLANK(H30), "", IF(H30='Answer Key &amp; Explanations'!C30, "✅ Correct", "❌ Incorrect (See Key)"))</f>
        <v/>
      </c>
    </row>
    <row r="31" ht="45" customHeight="1">
      <c r="A31" s="10" t="n">
        <v>23</v>
      </c>
      <c r="B31" s="11" t="inlineStr">
        <is>
          <t>An infant can sit with support, transfer an object from one hand to another, and babbles monosyllables. What is the expected developmental age?</t>
        </is>
      </c>
      <c r="C31" s="11" t="inlineStr">
        <is>
          <t>A. 3 months</t>
        </is>
      </c>
      <c r="D31" s="11" t="inlineStr">
        <is>
          <t>B. 6 months</t>
        </is>
      </c>
      <c r="E31" s="11" t="inlineStr">
        <is>
          <t>C. 9 months</t>
        </is>
      </c>
      <c r="F31" s="11" t="inlineStr">
        <is>
          <t>D. 12 months</t>
        </is>
      </c>
      <c r="G31" s="11" t="inlineStr">
        <is>
          <t>E. 18 months</t>
        </is>
      </c>
      <c r="H31" s="12" t="n"/>
      <c r="I31" s="13">
        <f>IF(ISBLANK(H31), "", IF(H31='Answer Key &amp; Explanations'!C31, "✅ Correct", "❌ Incorrect (See Key)"))</f>
        <v/>
      </c>
    </row>
    <row r="32" ht="45" customHeight="1">
      <c r="A32" s="14" t="n">
        <v>24</v>
      </c>
      <c r="B32" s="15" t="inlineStr">
        <is>
          <t>An infant sits unsupported without assistance, demonstrates a pincer grasp, and responds to their own name. What is the developmental age?</t>
        </is>
      </c>
      <c r="C32" s="15" t="inlineStr">
        <is>
          <t>A. 3 months</t>
        </is>
      </c>
      <c r="D32" s="15" t="inlineStr">
        <is>
          <t>B. 6 months</t>
        </is>
      </c>
      <c r="E32" s="15" t="inlineStr">
        <is>
          <t>C. 9 months</t>
        </is>
      </c>
      <c r="F32" s="15" t="inlineStr">
        <is>
          <t>D. 12 months</t>
        </is>
      </c>
      <c r="G32" s="15" t="inlineStr">
        <is>
          <t>E. 15 months</t>
        </is>
      </c>
      <c r="H32" s="12" t="n"/>
      <c r="I32" s="13">
        <f>IF(ISBLANK(H32), "", IF(H32='Answer Key &amp; Explanations'!C32, "✅ Correct", "❌ Incorrect (See Key)"))</f>
        <v/>
      </c>
    </row>
    <row r="33" ht="45" customHeight="1">
      <c r="A33" s="10" t="n">
        <v>25</v>
      </c>
      <c r="B33" s="11" t="inlineStr">
        <is>
          <t>A toddler walks with one hand held, speaks 1–2 meaningful words ('mama', 'dada'), and plays 'pat-a-cake'. What is the expected age?</t>
        </is>
      </c>
      <c r="C33" s="11" t="inlineStr">
        <is>
          <t>A. 9 months</t>
        </is>
      </c>
      <c r="D33" s="11" t="inlineStr">
        <is>
          <t>B. 12 months</t>
        </is>
      </c>
      <c r="E33" s="11" t="inlineStr">
        <is>
          <t>C. 18 months</t>
        </is>
      </c>
      <c r="F33" s="11" t="inlineStr">
        <is>
          <t>D. 24 months</t>
        </is>
      </c>
      <c r="G33" s="11" t="inlineStr">
        <is>
          <t>E. 36 months</t>
        </is>
      </c>
      <c r="H33" s="12" t="n"/>
      <c r="I33" s="13">
        <f>IF(ISBLANK(H33), "", IF(H33='Answer Key &amp; Explanations'!C33, "✅ Correct", "❌ Incorrect (See Key)"))</f>
        <v/>
      </c>
    </row>
    <row r="34" ht="45" customHeight="1">
      <c r="A34" s="14" t="n">
        <v>26</v>
      </c>
      <c r="B34" s="15" t="inlineStr">
        <is>
          <t>How is Global Developmental Delay (GDD) clinically defined in children under 5 years of age?</t>
        </is>
      </c>
      <c r="C34" s="15" t="inlineStr">
        <is>
          <t>A. Delay in gross motor skills only</t>
        </is>
      </c>
      <c r="D34" s="15" t="inlineStr">
        <is>
          <t>B. Significant delay in 2 or more developmental domains (performance &gt;2 SD below mean)</t>
        </is>
      </c>
      <c r="E34" s="15" t="inlineStr">
        <is>
          <t>C. Isolated speech delay after 2 years of age</t>
        </is>
      </c>
      <c r="F34" s="15" t="inlineStr">
        <is>
          <t>D. Mild behavioral difficulty in nursery school</t>
        </is>
      </c>
      <c r="G34" s="15" t="inlineStr">
        <is>
          <t>E. Temporary regression during hospitalization</t>
        </is>
      </c>
      <c r="H34" s="12" t="n"/>
      <c r="I34" s="13">
        <f>IF(ISBLANK(H34), "", IF(H34='Answer Key &amp; Explanations'!C34, "✅ Correct", "❌ Incorrect (See Key)"))</f>
        <v/>
      </c>
    </row>
    <row r="35" ht="45" customHeight="1">
      <c r="A35" s="10" t="n">
        <v>27</v>
      </c>
      <c r="B35" s="11" t="inlineStr">
        <is>
          <t>Which of the following is considered a major developmental red flag requiring immediate investigation?</t>
        </is>
      </c>
      <c r="C35" s="11" t="inlineStr">
        <is>
          <t>A. Not walking independently at 11 months</t>
        </is>
      </c>
      <c r="D35" s="11" t="inlineStr">
        <is>
          <t>B. Strong hand preference before 12 months of age</t>
        </is>
      </c>
      <c r="E35" s="11" t="inlineStr">
        <is>
          <t>C. Speaking 3 words at 14 months</t>
        </is>
      </c>
      <c r="F35" s="11" t="inlineStr">
        <is>
          <t>D. Stranger anxiety at 8 months</t>
        </is>
      </c>
      <c r="G35" s="11" t="inlineStr">
        <is>
          <t>E. Not riding a tricycle at 2 years</t>
        </is>
      </c>
      <c r="H35" s="12" t="n"/>
      <c r="I35" s="13">
        <f>IF(ISBLANK(H35), "", IF(H35='Answer Key &amp; Explanations'!C35, "✅ Correct", "❌ Incorrect (See Key)"))</f>
        <v/>
      </c>
    </row>
    <row r="36" ht="45" customHeight="1">
      <c r="A36" s="14" t="n">
        <v>28</v>
      </c>
      <c r="B36" s="15" t="inlineStr">
        <is>
          <t>A newborn presents with up-slanting palpebral fissures, prominent epicanthic folds, a flat nasal bridge, and a single transverse palmar crease. What is the diagnosis?</t>
        </is>
      </c>
      <c r="C36" s="15" t="inlineStr">
        <is>
          <t>A. Edwards Syndrome (Trisomy 18)</t>
        </is>
      </c>
      <c r="D36" s="15" t="inlineStr">
        <is>
          <t>B. Down Syndrome (Trisomy 21)</t>
        </is>
      </c>
      <c r="E36" s="15" t="inlineStr">
        <is>
          <t>C. Patau Syndrome (Trisomy 13)</t>
        </is>
      </c>
      <c r="F36" s="15" t="inlineStr">
        <is>
          <t>D. Turner Syndrome</t>
        </is>
      </c>
      <c r="G36" s="15" t="inlineStr">
        <is>
          <t>E. Fragile X Syndrome</t>
        </is>
      </c>
      <c r="H36" s="12" t="n"/>
      <c r="I36" s="13">
        <f>IF(ISBLANK(H36), "", IF(H36='Answer Key &amp; Explanations'!C36, "✅ Correct", "❌ Incorrect (See Key)"))</f>
        <v/>
      </c>
    </row>
    <row r="37" ht="45" customHeight="1">
      <c r="A37" s="10" t="n">
        <v>29</v>
      </c>
      <c r="B37" s="11" t="inlineStr">
        <is>
          <t>What is the most common congenital heart defect associated with Down Syndrome (Trisomy 21)?</t>
        </is>
      </c>
      <c r="C37" s="11" t="inlineStr">
        <is>
          <t>A. Coarctation of the Aorta</t>
        </is>
      </c>
      <c r="D37" s="11" t="inlineStr">
        <is>
          <t>B. Atrioventricular Septal Defect (AVSD / Endocardial Cushion Defect)</t>
        </is>
      </c>
      <c r="E37" s="11" t="inlineStr">
        <is>
          <t>C. Transposition of the Great Arteries</t>
        </is>
      </c>
      <c r="F37" s="11" t="inlineStr">
        <is>
          <t>D. Bicuspid Aortic Valve</t>
        </is>
      </c>
      <c r="G37" s="11" t="inlineStr">
        <is>
          <t>E. Hypoplastic Left Heart Syndrome</t>
        </is>
      </c>
      <c r="H37" s="12" t="n"/>
      <c r="I37" s="13">
        <f>IF(ISBLANK(H37), "", IF(H37='Answer Key &amp; Explanations'!C37, "✅ Correct", "❌ Incorrect (See Key)"))</f>
        <v/>
      </c>
    </row>
    <row r="38" ht="45" customHeight="1">
      <c r="A38" s="14" t="n">
        <v>30</v>
      </c>
      <c r="B38" s="15" t="inlineStr">
        <is>
          <t>A newborn is noted to have a parietal scalp swelling that does NOT cross cranial suture lines. What is the diagnosis?</t>
        </is>
      </c>
      <c r="C38" s="15" t="inlineStr">
        <is>
          <t>A. Caput Succedaneum</t>
        </is>
      </c>
      <c r="D38" s="15" t="inlineStr">
        <is>
          <t>B. Cephalhematoma</t>
        </is>
      </c>
      <c r="E38" s="15" t="inlineStr">
        <is>
          <t>C. Subgaleal hemorrhage</t>
        </is>
      </c>
      <c r="F38" s="15" t="inlineStr">
        <is>
          <t>D. Encephalocele</t>
        </is>
      </c>
      <c r="G38" s="15" t="inlineStr">
        <is>
          <t>E. Subdural hematoma</t>
        </is>
      </c>
      <c r="H38" s="12" t="n"/>
      <c r="I38" s="13">
        <f>IF(ISBLANK(H38), "", IF(H38='Answer Key &amp; Explanations'!C38, "✅ Correct", "❌ Incorrect (See Key)"))</f>
        <v/>
      </c>
    </row>
  </sheetData>
  <mergeCells count="2">
    <mergeCell ref="A1:I1"/>
    <mergeCell ref="B3:E3"/>
  </mergeCells>
  <dataValidations count="1">
    <dataValidation sqref="H9 H10 H11 H12 H13 H14 H15 H16 H17 H18 H19 H20 H21 H22 H23 H24 H25 H26 H27 H28 H29 H30 H31 H32 H33 H34 H35 H36 H37 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75" customWidth="1" min="4" max="4"/>
  </cols>
  <sheetData>
    <row r="1" ht="40" customHeight="1">
      <c r="A1" s="1" t="inlineStr">
        <is>
          <t>Pediatric Board Examination — Module 1 Instructor Portal (Key &amp; Explanations)</t>
        </is>
      </c>
    </row>
    <row r="8" ht="28" customHeight="1">
      <c r="A8" s="9" t="inlineStr">
        <is>
          <t>Q#</t>
        </is>
      </c>
      <c r="B8" s="9" t="inlineStr">
        <is>
          <t>Question Focus / Topic</t>
        </is>
      </c>
      <c r="C8" s="9" t="inlineStr">
        <is>
          <t>Correct Answer Key</t>
        </is>
      </c>
      <c r="D8" s="9" t="inlineStr">
        <is>
          <t>Textbook Clinical Rationale &amp; Evidence</t>
        </is>
      </c>
    </row>
    <row r="9" ht="35" customHeight="1">
      <c r="A9" s="10" t="n">
        <v>1</v>
      </c>
      <c r="B9" s="11" t="inlineStr">
        <is>
          <t>A newborn infant is assessed immediately afte...</t>
        </is>
      </c>
      <c r="C9" s="13" t="inlineStr">
        <is>
          <t>C</t>
        </is>
      </c>
      <c r="D9" s="11" t="inlineStr">
        <is>
          <t>WHO defines Low Birth Weight (LBW) strictly as birth weight &lt; 2,500 g regardless of gestational age. VLBW is &lt; 1,500 g and ELBW is &lt; 1,000 g.</t>
        </is>
      </c>
    </row>
    <row r="10" ht="35" customHeight="1">
      <c r="A10" s="14" t="n">
        <v>2</v>
      </c>
      <c r="B10" s="15" t="inlineStr">
        <is>
          <t>What is the clinical definition of a preterm ...</t>
        </is>
      </c>
      <c r="C10" s="13" t="inlineStr">
        <is>
          <t>C</t>
        </is>
      </c>
      <c r="D10" s="15" t="inlineStr">
        <is>
          <t>Preterm birth is defined as delivery occurring at less than 37 completed weeks of gestation (&lt;37+0 weeks).</t>
        </is>
      </c>
    </row>
    <row r="11" ht="35" customHeight="1">
      <c r="A11" s="10" t="n">
        <v>3</v>
      </c>
      <c r="B11" s="11" t="inlineStr">
        <is>
          <t>An infant delivered at term has a birth weigh...</t>
        </is>
      </c>
      <c r="C11" s="13" t="inlineStr">
        <is>
          <t>A</t>
        </is>
      </c>
      <c r="D11" s="11" t="inlineStr">
        <is>
          <t>Extremely Low Birth Weight (ELBW) is defined as a birth weight strictly &lt; 1,000 g.</t>
        </is>
      </c>
    </row>
    <row r="12" ht="35" customHeight="1">
      <c r="A12" s="14" t="n">
        <v>4</v>
      </c>
      <c r="B12" s="15" t="inlineStr">
        <is>
          <t>Which of the following birth weights strictly...</t>
        </is>
      </c>
      <c r="C12" s="13" t="inlineStr">
        <is>
          <t>C</t>
        </is>
      </c>
      <c r="D12" s="15" t="inlineStr">
        <is>
          <t>Very Low Birth Weight (VLBW) is strictly defined as birth weight &lt; 1,500 g.</t>
        </is>
      </c>
    </row>
    <row r="13" ht="35" customHeight="1">
      <c r="A13" s="10" t="n">
        <v>5</v>
      </c>
      <c r="B13" s="11" t="inlineStr">
        <is>
          <t>An infant's birth weight falls below the 10th...</t>
        </is>
      </c>
      <c r="C13" s="13" t="inlineStr">
        <is>
          <t>B</t>
        </is>
      </c>
      <c r="D13" s="11" t="inlineStr">
        <is>
          <t>Small for Gestational Age (SGA) is defined as a birth weight below the 10th percentile for a given gestational age.</t>
        </is>
      </c>
    </row>
    <row r="14" ht="35" customHeight="1">
      <c r="A14" s="14" t="n">
        <v>6</v>
      </c>
      <c r="B14" s="15" t="inlineStr">
        <is>
          <t>During newborn resuscitation ('Golden Minute'...</t>
        </is>
      </c>
      <c r="C14" s="13" t="inlineStr">
        <is>
          <t>C</t>
        </is>
      </c>
      <c r="D14" s="15" t="inlineStr">
        <is>
          <t>The golden minute initial steps focus on providing warmth, positioning the airway, clearing secretions if necessary, drying, and tactile stimulation.</t>
        </is>
      </c>
    </row>
    <row r="15" ht="35" customHeight="1">
      <c r="A15" s="10" t="n">
        <v>7</v>
      </c>
      <c r="B15" s="11" t="inlineStr">
        <is>
          <t>A newly delivered neonate is apneic and has a...</t>
        </is>
      </c>
      <c r="C15" s="13" t="inlineStr">
        <is>
          <t>B</t>
        </is>
      </c>
      <c r="D15" s="11" t="inlineStr">
        <is>
          <t>Positive Pressure Ventilation (PPV) is indicated immediately if the neonate is apneic, gasping, or has a heart rate &lt; 100 bpm after initial steps.</t>
        </is>
      </c>
    </row>
    <row r="16" ht="35" customHeight="1">
      <c r="A16" s="14" t="n">
        <v>8</v>
      </c>
      <c r="B16" s="15" t="inlineStr">
        <is>
          <t>What is the recommended chest compression-to-...</t>
        </is>
      </c>
      <c r="C16" s="13" t="inlineStr">
        <is>
          <t>D</t>
        </is>
      </c>
      <c r="D16" s="15" t="inlineStr">
        <is>
          <t>In neonatal resuscitation, the coordinated ratio is 3 compressions to 1 ventilation (3:1 ratio), delivering 90 compressions and 30 breaths per minute.</t>
        </is>
      </c>
    </row>
    <row r="17" ht="35" customHeight="1">
      <c r="A17" s="10" t="n">
        <v>9</v>
      </c>
      <c r="B17" s="11" t="inlineStr">
        <is>
          <t>Chest compressions are indicated in a newborn...</t>
        </is>
      </c>
      <c r="C17" s="13" t="inlineStr">
        <is>
          <t>C</t>
        </is>
      </c>
      <c r="D17" s="11" t="inlineStr">
        <is>
          <t>Chest compressions are indicated when the heart rate remains &lt; 60 beats per minute despite at least 30 seconds of effective positive pressure ventilation.</t>
        </is>
      </c>
    </row>
    <row r="18" ht="35" customHeight="1">
      <c r="A18" s="14" t="n">
        <v>10</v>
      </c>
      <c r="B18" s="15" t="inlineStr">
        <is>
          <t>Which technique is correct for inserting a Gu...</t>
        </is>
      </c>
      <c r="C18" s="13" t="inlineStr">
        <is>
          <t>B</t>
        </is>
      </c>
      <c r="D18" s="15" t="inlineStr">
        <is>
          <t>In infants and neonates, the Guedel airway must be inserted concavity facing downwards (right-side up) using a tongue depressor to avoid palate trauma.</t>
        </is>
      </c>
    </row>
    <row r="19" ht="35" customHeight="1">
      <c r="A19" s="10" t="n">
        <v>11</v>
      </c>
      <c r="B19" s="11" t="inlineStr">
        <is>
          <t>A full-term newborn develops visible jaundice...</t>
        </is>
      </c>
      <c r="C19" s="13" t="inlineStr">
        <is>
          <t>C</t>
        </is>
      </c>
      <c r="D19" s="11" t="inlineStr">
        <is>
          <t>Jaundice appearing within the first 24 hours of life is ALWAYS pathological and requires urgent investigation (e.g., ABO/Rh hemolytic disease, infection).</t>
        </is>
      </c>
    </row>
    <row r="20" ht="35" customHeight="1">
      <c r="A20" s="14" t="n">
        <v>12</v>
      </c>
      <c r="B20" s="15" t="inlineStr">
        <is>
          <t>What is the most severe neurological complica...</t>
        </is>
      </c>
      <c r="C20" s="13" t="inlineStr">
        <is>
          <t>B</t>
        </is>
      </c>
      <c r="D20" s="15" t="inlineStr">
        <is>
          <t>Unbound unconjugated bilirubin crosses the blood-brain barrier and deposits in the basal ganglia and brainstem nuclei, causing Kernicterus.</t>
        </is>
      </c>
    </row>
    <row r="21" ht="35" customHeight="1">
      <c r="A21" s="10" t="n">
        <v>13</v>
      </c>
      <c r="B21" s="11" t="inlineStr">
        <is>
          <t>What light wavelength spectrum provides maxim...</t>
        </is>
      </c>
      <c r="C21" s="13" t="inlineStr">
        <is>
          <t>B</t>
        </is>
      </c>
      <c r="D21" s="11" t="inlineStr">
        <is>
          <t>Phototherapy uses blue-green light in the 460–490 nm spectrum to convert unconjugated bilirubin into water-soluble lumirubin via structural photoisomerization.</t>
        </is>
      </c>
    </row>
    <row r="22" ht="35" customHeight="1">
      <c r="A22" s="14" t="n">
        <v>14</v>
      </c>
      <c r="B22" s="15" t="inlineStr">
        <is>
          <t>Which procedure is indicated when serum bilir...</t>
        </is>
      </c>
      <c r="C22" s="13" t="inlineStr">
        <is>
          <t>A</t>
        </is>
      </c>
      <c r="D22" s="15" t="inlineStr">
        <is>
          <t>Double-volume exchange transfusion removes sensitized RBCs, circulating maternal antibodies, and reduces serum bilirubin level by ~50%.</t>
        </is>
      </c>
    </row>
    <row r="23" ht="35" customHeight="1">
      <c r="A23" s="10" t="n">
        <v>15</v>
      </c>
      <c r="B23" s="11" t="inlineStr">
        <is>
          <t>What operational time frame defines Early-Ons...</t>
        </is>
      </c>
      <c r="C23" s="13" t="inlineStr">
        <is>
          <t>B</t>
        </is>
      </c>
      <c r="D23" s="11" t="inlineStr">
        <is>
          <t>Early-Onset Neonatal Sepsis (EOS) manifests within the first 72 hours of life (or &lt; 7 days in some guidelines; classically &lt; 72h in hospital settings) due to vertical intrapartum transmission.</t>
        </is>
      </c>
    </row>
    <row r="24" ht="35" customHeight="1">
      <c r="A24" s="14" t="n">
        <v>16</v>
      </c>
      <c r="B24" s="15" t="inlineStr">
        <is>
          <t>A mother has intrapartum fever of 38.5°C and ...</t>
        </is>
      </c>
      <c r="C24" s="13" t="inlineStr">
        <is>
          <t>B</t>
        </is>
      </c>
      <c r="D24" s="15" t="inlineStr">
        <is>
          <t>Maternal intrapartum pyrexia (&gt;38.0°C) and prolonged rupture of membranes (PROM &gt; 18 hours) are major maternal risk factors for early-onset sepsis.</t>
        </is>
      </c>
    </row>
    <row r="25" ht="35" customHeight="1">
      <c r="A25" s="10" t="n">
        <v>17</v>
      </c>
      <c r="B25" s="11" t="inlineStr">
        <is>
          <t>Which blood count finding strongly suggests n...</t>
        </is>
      </c>
      <c r="C25" s="13" t="inlineStr">
        <is>
          <t>A</t>
        </is>
      </c>
      <c r="D25" s="11" t="inlineStr">
        <is>
          <t>An elevated immature-to-total (I:T) neutrophil ratio &gt; 0.2 (indicating left shift) alongside leukopenia (&lt;5,000) or leukocytosis is a strong sepsis marker.</t>
        </is>
      </c>
    </row>
    <row r="26" ht="35" customHeight="1">
      <c r="A26" s="14" t="n">
        <v>18</v>
      </c>
      <c r="B26" s="15" t="inlineStr">
        <is>
          <t>What is the recommended empirical first-line ...</t>
        </is>
      </c>
      <c r="C26" s="13" t="inlineStr">
        <is>
          <t>B</t>
        </is>
      </c>
      <c r="D26" s="15" t="inlineStr">
        <is>
          <t>First-line empirical therapy for EOS covers Group B Streptococcus and Gram-negative enteric bacilli (E. coli) using IV Ampicillin + Gentamicin.</t>
        </is>
      </c>
    </row>
    <row r="27" ht="35" customHeight="1">
      <c r="A27" s="10" t="n">
        <v>19</v>
      </c>
      <c r="B27" s="11" t="inlineStr">
        <is>
          <t>A term neonate presents at 3 hours of life wi...</t>
        </is>
      </c>
      <c r="C27" s="13" t="inlineStr">
        <is>
          <t>B</t>
        </is>
      </c>
      <c r="D27" s="11" t="inlineStr">
        <is>
          <t>Early respiratory distress in a term neonate born following prolonged rupture of membranes (PROM &gt;18h) points directly to Congenital Pneumonia / EOS.</t>
        </is>
      </c>
    </row>
    <row r="28" ht="35" customHeight="1">
      <c r="A28" s="14" t="n">
        <v>20</v>
      </c>
      <c r="B28" s="15" t="inlineStr">
        <is>
          <t>A full-term infant born after severe birth as...</t>
        </is>
      </c>
      <c r="C28" s="13" t="inlineStr">
        <is>
          <t>B</t>
        </is>
      </c>
      <c r="D28" s="15" t="inlineStr">
        <is>
          <t>Sarnat Stage II (Moderate HIE) is characterized by lethargy, hypotonia, weak or absent reflexes, and seizures. Stage I features hyperalertness; Stage III features stupor/coma.</t>
        </is>
      </c>
    </row>
    <row r="29" ht="35" customHeight="1">
      <c r="A29" s="10" t="n">
        <v>21</v>
      </c>
      <c r="B29" s="11" t="inlineStr">
        <is>
          <t>Therapeutic hypothermia (cooling to 33.5°C fo...</t>
        </is>
      </c>
      <c r="C29" s="13" t="inlineStr">
        <is>
          <t>A</t>
        </is>
      </c>
      <c r="D29" s="11" t="inlineStr">
        <is>
          <t>Therapeutic hypothermia must be initiated within the 6-hour therapeutic window after birth to prevent secondary neuronal apoptosis.</t>
        </is>
      </c>
    </row>
    <row r="30" ht="35" customHeight="1">
      <c r="A30" s="14" t="n">
        <v>22</v>
      </c>
      <c r="B30" s="15" t="inlineStr">
        <is>
          <t>A child can hold their head steady when uprig...</t>
        </is>
      </c>
      <c r="C30" s="13" t="inlineStr">
        <is>
          <t>B</t>
        </is>
      </c>
      <c r="D30" s="15" t="inlineStr">
        <is>
          <t>By 3 months of age, an infant achieves head control, social smiling, and cooing.</t>
        </is>
      </c>
    </row>
    <row r="31" ht="35" customHeight="1">
      <c r="A31" s="10" t="n">
        <v>23</v>
      </c>
      <c r="B31" s="11" t="inlineStr">
        <is>
          <t>An infant can sit with support, transfer an o...</t>
        </is>
      </c>
      <c r="C31" s="13" t="inlineStr">
        <is>
          <t>B</t>
        </is>
      </c>
      <c r="D31" s="11" t="inlineStr">
        <is>
          <t>At 6 months, an infant sits with support, transfers objects hand-to-hand, and babbles.</t>
        </is>
      </c>
    </row>
    <row r="32" ht="35" customHeight="1">
      <c r="A32" s="14" t="n">
        <v>24</v>
      </c>
      <c r="B32" s="15" t="inlineStr">
        <is>
          <t>An infant sits unsupported without assistance...</t>
        </is>
      </c>
      <c r="C32" s="13" t="inlineStr">
        <is>
          <t>C</t>
        </is>
      </c>
      <c r="D32" s="15" t="inlineStr">
        <is>
          <t>Sitting without support, immature/pincer grasp, and responding to name are classic 9-month milestones.</t>
        </is>
      </c>
    </row>
    <row r="33" ht="35" customHeight="1">
      <c r="A33" s="10" t="n">
        <v>25</v>
      </c>
      <c r="B33" s="11" t="inlineStr">
        <is>
          <t>A toddler walks with one hand held, speaks 1–...</t>
        </is>
      </c>
      <c r="C33" s="13" t="inlineStr">
        <is>
          <t>B</t>
        </is>
      </c>
      <c r="D33" s="11" t="inlineStr">
        <is>
          <t>At 12 months, toddlers walk with one hand held/cruise, say 1–2 words with meaning, and participate in interactive games like pat-a-cake.</t>
        </is>
      </c>
    </row>
    <row r="34" ht="35" customHeight="1">
      <c r="A34" s="14" t="n">
        <v>26</v>
      </c>
      <c r="B34" s="15" t="inlineStr">
        <is>
          <t>How is Global Developmental Delay (GDD) clini...</t>
        </is>
      </c>
      <c r="C34" s="13" t="inlineStr">
        <is>
          <t>B</t>
        </is>
      </c>
      <c r="D34" s="15" t="inlineStr">
        <is>
          <t>Global Developmental Delay is defined as significant delay (performance &gt;2 SD below age-appropriate mean) in 2 or more developmental domains.</t>
        </is>
      </c>
    </row>
    <row r="35" ht="35" customHeight="1">
      <c r="A35" s="10" t="n">
        <v>27</v>
      </c>
      <c r="B35" s="11" t="inlineStr">
        <is>
          <t>Which of the following is considered a major ...</t>
        </is>
      </c>
      <c r="C35" s="13" t="inlineStr">
        <is>
          <t>B</t>
        </is>
      </c>
      <c r="D35" s="11" t="inlineStr">
        <is>
          <t>Hand preference before 12 months is abnormal and indicates focal motor weakness / hemiplegic cerebral palsy on the contralateral side.</t>
        </is>
      </c>
    </row>
    <row r="36" ht="35" customHeight="1">
      <c r="A36" s="14" t="n">
        <v>28</v>
      </c>
      <c r="B36" s="15" t="inlineStr">
        <is>
          <t>A newborn presents with up-slanting palpebral...</t>
        </is>
      </c>
      <c r="C36" s="13" t="inlineStr">
        <is>
          <t>B</t>
        </is>
      </c>
      <c r="D36" s="15" t="inlineStr">
        <is>
          <t>These are classic dysmorphic facial and physical features of Down Syndrome (Trisomy 21).</t>
        </is>
      </c>
    </row>
    <row r="37" ht="35" customHeight="1">
      <c r="A37" s="10" t="n">
        <v>29</v>
      </c>
      <c r="B37" s="11" t="inlineStr">
        <is>
          <t>What is the most common congenital heart defe...</t>
        </is>
      </c>
      <c r="C37" s="13" t="inlineStr">
        <is>
          <t>B</t>
        </is>
      </c>
      <c r="D37" s="11" t="inlineStr">
        <is>
          <t>AVSD (Endocardial Cushion Defect) accounts for ~40% of congenital heart defects in infants with Down Syndrome.</t>
        </is>
      </c>
    </row>
    <row r="38" ht="35" customHeight="1">
      <c r="A38" s="14" t="n">
        <v>30</v>
      </c>
      <c r="B38" s="15" t="inlineStr">
        <is>
          <t>A newborn is noted to have a parietal scalp s...</t>
        </is>
      </c>
      <c r="C38" s="13" t="inlineStr">
        <is>
          <t>B</t>
        </is>
      </c>
      <c r="D38" s="15" t="inlineStr">
        <is>
          <t>Cephalhematoma is a subperiosteal blood accumulation bounded by periosteum, so it does NOT cross suture lines. Caput succedaneum crosses suture lines.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2026-10-28T21:53:50Z</dcterms:created>
  <dcterms:modified xmlns:dcterms="http://purl.org/dc/terms/" xmlns:xsi="http://www.w3.org/2001/XMLSchema-instance" xsi:type="dcterms:W3CDTF">2026-10-28T21:53:50Z</dcterms:modified>
</cp:coreProperties>
</file>