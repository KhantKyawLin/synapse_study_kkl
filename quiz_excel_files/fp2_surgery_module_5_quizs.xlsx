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Interactive Quiz" sheetId="2" state="visible" r:id="rId2"/>
    <sheet xmlns:r="http://schemas.openxmlformats.org/officeDocument/2006/relationships" name="Answer Key &amp; Expla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563C1"/>
      <sz val="11"/>
      <u val="single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5" fillId="0" borderId="0" pivotButton="0" quotePrefix="0" xfId="0"/>
    <xf numFmtId="0" fontId="4" fillId="7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5" customWidth="1" min="3" max="3"/>
    <col width="20" customWidth="1" min="4" max="4"/>
    <col width="20" customWidth="1" min="5" max="5"/>
  </cols>
  <sheetData>
    <row r="1" ht="28" customHeight="1">
      <c r="A1" s="1" t="inlineStr">
        <is>
          <t>MODULE 5: HEPATOBILIARY &amp; PANCREATIC SURGERY (HBPS)</t>
        </is>
      </c>
    </row>
    <row r="2" ht="18" customHeight="1">
      <c r="A2" s="2" t="inlineStr">
        <is>
          <t>Master Surgical Exam Review | Version v1.0</t>
        </is>
      </c>
    </row>
    <row r="4">
      <c r="A4" s="3" t="inlineStr">
        <is>
          <t>WORKBOOK NAVIGATION &amp; MODULE INDEX</t>
        </is>
      </c>
    </row>
    <row r="5">
      <c r="A5" s="4" t="inlineStr">
        <is>
          <t>Tab Name</t>
        </is>
      </c>
      <c r="B5" s="4" t="inlineStr">
        <is>
          <t>Target Audience</t>
        </is>
      </c>
      <c r="C5" s="4" t="inlineStr">
        <is>
          <t>Description</t>
        </is>
      </c>
      <c r="D5" s="4" t="inlineStr">
        <is>
          <t>Contents</t>
        </is>
      </c>
      <c r="E5" s="4" t="inlineStr">
        <is>
          <t>Quick Link</t>
        </is>
      </c>
    </row>
    <row r="6">
      <c r="A6" s="5" t="inlineStr">
        <is>
          <t>Interactive Quiz</t>
        </is>
      </c>
      <c r="B6" s="6" t="inlineStr">
        <is>
          <t>Student Portal</t>
        </is>
      </c>
      <c r="C6" s="6" t="inlineStr">
        <is>
          <t>30 High-Yield Clinical MCQs covering Gallstones, Cholangitis, Pancreatitis, Pancreatic Cancer, and HCC</t>
        </is>
      </c>
      <c r="D6" s="6" t="inlineStr">
        <is>
          <t>Interactive Portal</t>
        </is>
      </c>
      <c r="E6" s="7">
        <f>HYPERLINK("#'Interactive Quiz'!A1", "Go to Quiz ➔")</f>
        <v/>
      </c>
    </row>
    <row r="7">
      <c r="A7" s="8" t="inlineStr">
        <is>
          <t>Answer Key &amp; Explanations</t>
        </is>
      </c>
      <c r="B7" s="9" t="inlineStr">
        <is>
          <t>Instructor Portal</t>
        </is>
      </c>
      <c r="C7" s="9" t="inlineStr">
        <is>
          <t>Complete answer key, step-by-step diagnostic rationales, and textbook source references</t>
        </is>
      </c>
      <c r="D7" s="9" t="inlineStr">
        <is>
          <t>Full Solutions</t>
        </is>
      </c>
      <c r="E7" s="10">
        <f>HYPERLINK("#'Answer Key &amp; Explanations'!A1", "Go to Solutions ➔")</f>
        <v/>
      </c>
    </row>
    <row r="10">
      <c r="A10" s="3" t="inlineStr">
        <is>
          <t>WORKBOOK FORMATTING &amp; COLOR LEGEND</t>
        </is>
      </c>
    </row>
    <row r="11">
      <c r="A11" s="11" t="inlineStr">
        <is>
          <t>Light Blue Fill (#DCE6F1)</t>
        </is>
      </c>
      <c r="B11" s="12" t="inlineStr">
        <is>
          <t>Student Input Cell (Column H - Dropdown A-E)</t>
        </is>
      </c>
    </row>
    <row r="12">
      <c r="A12" s="13" t="inlineStr">
        <is>
          <t>Light Green Fill (#E2EFDA)</t>
        </is>
      </c>
      <c r="B12" s="12" t="inlineStr">
        <is>
          <t>Automated Scorecard &amp; Live Formula Grading</t>
        </is>
      </c>
    </row>
    <row r="13">
      <c r="A13" s="14" t="inlineStr">
        <is>
          <t>Dark Blue Banner (#2F5496)</t>
        </is>
      </c>
      <c r="B13" s="12" t="inlineStr">
        <is>
          <t>Section Banners &amp; Table Headers</t>
        </is>
      </c>
    </row>
    <row r="14">
      <c r="A14" s="15" t="inlineStr">
        <is>
          <t>Zebra Gray (#F2F2F2)</t>
        </is>
      </c>
      <c r="B14" s="12" t="inlineStr">
        <is>
          <t>Alternating Table Row Shading</t>
        </is>
      </c>
    </row>
  </sheetData>
  <mergeCells count="8">
    <mergeCell ref="A4:E4"/>
    <mergeCell ref="A2:E2"/>
    <mergeCell ref="B12:E12"/>
    <mergeCell ref="A10:E10"/>
    <mergeCell ref="B13:E13"/>
    <mergeCell ref="A1:E1"/>
    <mergeCell ref="B11:E1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4" customWidth="1" min="8" max="8"/>
    <col width="22" customWidth="1" min="9" max="9"/>
  </cols>
  <sheetData>
    <row r="1" ht="28" customHeight="1">
      <c r="A1" s="1" t="inlineStr">
        <is>
          <t>MODULE 5: HEPATOBILIARY &amp; PANCREATIC SURGERY - INTERACTIVE CLINICAL QUIZ</t>
        </is>
      </c>
    </row>
    <row r="3">
      <c r="A3" s="16" t="inlineStr">
        <is>
          <t>AUTOMATED SCORECARD</t>
        </is>
      </c>
    </row>
    <row r="4">
      <c r="A4" s="17" t="inlineStr">
        <is>
          <t>Questions Attempted:</t>
        </is>
      </c>
      <c r="B4" s="18">
        <f>COUNTA(H9:H38)</f>
        <v/>
      </c>
    </row>
    <row r="5">
      <c r="A5" s="17" t="inlineStr">
        <is>
          <t>Correct Answers:</t>
        </is>
      </c>
      <c r="B5" s="18">
        <f>COUNTIF(I9:I38, "*Correct*")</f>
        <v/>
      </c>
    </row>
    <row r="6">
      <c r="A6" s="17" t="inlineStr">
        <is>
          <t>Overall Grade Score %:</t>
        </is>
      </c>
      <c r="B6" s="19">
        <f>IF(B4=0, 0, B5/30)</f>
        <v/>
      </c>
    </row>
    <row r="8" ht="24" customHeight="1">
      <c r="A8" s="4" t="inlineStr">
        <is>
          <t>Q#</t>
        </is>
      </c>
      <c r="B8" s="4" t="inlineStr">
        <is>
          <t>Clinical Vignette / Question Prompt</t>
        </is>
      </c>
      <c r="C8" s="4" t="inlineStr">
        <is>
          <t>Option A</t>
        </is>
      </c>
      <c r="D8" s="4" t="inlineStr">
        <is>
          <t>Option B</t>
        </is>
      </c>
      <c r="E8" s="4" t="inlineStr">
        <is>
          <t>Option C</t>
        </is>
      </c>
      <c r="F8" s="4" t="inlineStr">
        <is>
          <t>Option D</t>
        </is>
      </c>
      <c r="G8" s="4" t="inlineStr">
        <is>
          <t>Option E</t>
        </is>
      </c>
      <c r="H8" s="4" t="inlineStr">
        <is>
          <t>Your Answer</t>
        </is>
      </c>
      <c r="I8" s="4" t="inlineStr">
        <is>
          <t>Real-Time Grade</t>
        </is>
      </c>
    </row>
    <row r="9" ht="42" customHeight="1">
      <c r="A9" s="20" t="n">
        <v>1</v>
      </c>
      <c r="B9" s="21" t="inlineStr">
        <is>
          <t>A 45-year-old female presents with severe right upper quadrant pain, high spiking fever with chills, and yellow discoloration of the sclera. What classic clinical triad is demonstrated?</t>
        </is>
      </c>
      <c r="C9" s="21" t="inlineStr">
        <is>
          <t>A. Murphy's triad</t>
        </is>
      </c>
      <c r="D9" s="21" t="inlineStr">
        <is>
          <t>B. Charcot's triad</t>
        </is>
      </c>
      <c r="E9" s="21" t="inlineStr">
        <is>
          <t>C. Beck's triad</t>
        </is>
      </c>
      <c r="F9" s="21" t="inlineStr">
        <is>
          <t>D. Saint's triad</t>
        </is>
      </c>
      <c r="G9" s="21" t="inlineStr">
        <is>
          <t>E. Virchow's triad</t>
        </is>
      </c>
      <c r="H9" s="22" t="n"/>
      <c r="I9" s="23">
        <f>IF(ISBLANK(H9), "", IF(H9='Answer Key &amp; Explanations'!C9, "✅ Correct", "❌ Incorrect (See Key)"))</f>
        <v/>
      </c>
    </row>
    <row r="10" ht="42" customHeight="1">
      <c r="A10" s="24" t="n">
        <v>2</v>
      </c>
      <c r="B10" s="25" t="inlineStr">
        <is>
          <t>A 55-year-old male with acute ascending cholangitis presents with Charcot's triad plus confusion and BP 80/50 mmHg. What is this clinical pentad called?</t>
        </is>
      </c>
      <c r="C10" s="25" t="inlineStr">
        <is>
          <t>A. Reynolds' pentad</t>
        </is>
      </c>
      <c r="D10" s="25" t="inlineStr">
        <is>
          <t>B. Whipple's pentad</t>
        </is>
      </c>
      <c r="E10" s="25" t="inlineStr">
        <is>
          <t>C. Ranson's pentad</t>
        </is>
      </c>
      <c r="F10" s="25" t="inlineStr">
        <is>
          <t>D. Cushing's pentad</t>
        </is>
      </c>
      <c r="G10" s="25" t="inlineStr">
        <is>
          <t>E. Puestow's pentad</t>
        </is>
      </c>
      <c r="H10" s="22" t="n"/>
      <c r="I10" s="26">
        <f>IF(ISBLANK(H10), "", IF(H10='Answer Key &amp; Explanations'!C10, "✅ Correct", "❌ Incorrect (See Key)"))</f>
        <v/>
      </c>
    </row>
    <row r="11" ht="42" customHeight="1">
      <c r="A11" s="20" t="n">
        <v>3</v>
      </c>
      <c r="B11" s="21" t="inlineStr">
        <is>
          <t>What is the immediate gold-standard therapeutic procedure to decompress an obstructed, infected biliary tree in severe acute cholangitis?</t>
        </is>
      </c>
      <c r="C11" s="21" t="inlineStr">
        <is>
          <t>A. Emergency Laparoscopic Cholecystectomy</t>
        </is>
      </c>
      <c r="D11" s="21" t="inlineStr">
        <is>
          <t>B. Percutaneous Cholecystostomy</t>
        </is>
      </c>
      <c r="E11" s="21" t="inlineStr">
        <is>
          <t>C. Urgent ERCP with sphincterotomy and stenting</t>
        </is>
      </c>
      <c r="F11" s="21" t="inlineStr">
        <is>
          <t>D. Open Choledochoduodenostomy</t>
        </is>
      </c>
      <c r="G11" s="21" t="inlineStr">
        <is>
          <t>E. Subtotal Pancreatectomy</t>
        </is>
      </c>
      <c r="H11" s="22" t="n"/>
      <c r="I11" s="23">
        <f>IF(ISBLANK(H11), "", IF(H11='Answer Key &amp; Explanations'!C11, "✅ Correct", "❌ Incorrect (See Key)"))</f>
        <v/>
      </c>
    </row>
    <row r="12" ht="42" customHeight="1">
      <c r="A12" s="24" t="n">
        <v>4</v>
      </c>
      <c r="B12" s="25" t="inlineStr">
        <is>
          <t>An ultrasound abdomen in a jaundiced patient shows a dilated Common Bile Duct (CBD &gt; 8 mm) containing a hyperechoic focus with acoustic shadowing. What is the most likely diagnosis?</t>
        </is>
      </c>
      <c r="C12" s="25" t="inlineStr">
        <is>
          <t>A. Acute Calculous Cholecystitis</t>
        </is>
      </c>
      <c r="D12" s="25" t="inlineStr">
        <is>
          <t>B. Choledocholithiasis</t>
        </is>
      </c>
      <c r="E12" s="25" t="inlineStr">
        <is>
          <t>C. Biliary Atresia</t>
        </is>
      </c>
      <c r="F12" s="25" t="inlineStr">
        <is>
          <t>D. Pancreatic Pseudocyst</t>
        </is>
      </c>
      <c r="G12" s="25" t="inlineStr">
        <is>
          <t>E. Carcinoma of Gallbladder</t>
        </is>
      </c>
      <c r="H12" s="22" t="n"/>
      <c r="I12" s="26">
        <f>IF(ISBLANK(H12), "", IF(H12='Answer Key &amp; Explanations'!C12, "✅ Correct", "❌ Incorrect (See Key)"))</f>
        <v/>
      </c>
    </row>
    <row r="13" ht="42" customHeight="1">
      <c r="A13" s="20" t="n">
        <v>5</v>
      </c>
      <c r="B13" s="21" t="inlineStr">
        <is>
          <t>In a patient presenting with progressive obstructive jaundice, a palpably enlarged, non-tender gallbladder indicates that the obstruction is unlikely due to gallstones. What is this clinical law?</t>
        </is>
      </c>
      <c r="C13" s="21" t="inlineStr">
        <is>
          <t>A. Goodsall's law</t>
        </is>
      </c>
      <c r="D13" s="21" t="inlineStr">
        <is>
          <t>B. Courvoisier's law</t>
        </is>
      </c>
      <c r="E13" s="21" t="inlineStr">
        <is>
          <t>C. Murphy's law</t>
        </is>
      </c>
      <c r="F13" s="21" t="inlineStr">
        <is>
          <t>D. Hilton's law</t>
        </is>
      </c>
      <c r="G13" s="21" t="inlineStr">
        <is>
          <t>E. Virchow's law</t>
        </is>
      </c>
      <c r="H13" s="22" t="n"/>
      <c r="I13" s="23">
        <f>IF(ISBLANK(H13), "", IF(H13='Answer Key &amp; Explanations'!C13, "✅ Correct", "❌ Incorrect (See Key)"))</f>
        <v/>
      </c>
    </row>
    <row r="14" ht="42" customHeight="1">
      <c r="A14" s="24" t="n">
        <v>6</v>
      </c>
      <c r="B14" s="25" t="inlineStr">
        <is>
          <t>A 62-year-old male presents with painless progressive jaundice, anorexia, 10 kg weight loss, acholic (clay-colored) stools, and dark tea-colored urine. What is the most likely provisional diagnosis?</t>
        </is>
      </c>
      <c r="C14" s="25" t="inlineStr">
        <is>
          <t>A. Acute Viral Hepatitis</t>
        </is>
      </c>
      <c r="D14" s="25" t="inlineStr">
        <is>
          <t>B. Carcinoma of Head of Pancreas</t>
        </is>
      </c>
      <c r="E14" s="25" t="inlineStr">
        <is>
          <t>C. Chronic Cholecystitis</t>
        </is>
      </c>
      <c r="F14" s="25" t="inlineStr">
        <is>
          <t>D. Gilbert's Syndrome</t>
        </is>
      </c>
      <c r="G14" s="25" t="inlineStr">
        <is>
          <t>E. Primary Biliary Cholangitis</t>
        </is>
      </c>
      <c r="H14" s="22" t="n"/>
      <c r="I14" s="26">
        <f>IF(ISBLANK(H14), "", IF(H14='Answer Key &amp; Explanations'!C14, "✅ Correct", "❌ Incorrect (See Key)"))</f>
        <v/>
      </c>
    </row>
    <row r="15" ht="42" customHeight="1">
      <c r="A15" s="20" t="n">
        <v>7</v>
      </c>
      <c r="B15" s="21" t="inlineStr">
        <is>
          <t>Which tumor marker is most specifically elevated in patients with adenocarcinoma of the head of the pancreas?</t>
        </is>
      </c>
      <c r="C15" s="21" t="inlineStr">
        <is>
          <t>A. Alpha-Fetoprotein (AFP)</t>
        </is>
      </c>
      <c r="D15" s="21" t="inlineStr">
        <is>
          <t>B. CA 125</t>
        </is>
      </c>
      <c r="E15" s="21" t="inlineStr">
        <is>
          <t>C. CA 19-9</t>
        </is>
      </c>
      <c r="F15" s="21" t="inlineStr">
        <is>
          <t>D. Beta-hCG</t>
        </is>
      </c>
      <c r="G15" s="21" t="inlineStr">
        <is>
          <t>E. CEA</t>
        </is>
      </c>
      <c r="H15" s="22" t="n"/>
      <c r="I15" s="23">
        <f>IF(ISBLANK(H15), "", IF(H15='Answer Key &amp; Explanations'!C15, "✅ Correct", "❌ Incorrect (See Key)"))</f>
        <v/>
      </c>
    </row>
    <row r="16" ht="42" customHeight="1">
      <c r="A16" s="24" t="n">
        <v>8</v>
      </c>
      <c r="B16" s="25" t="inlineStr">
        <is>
          <t>What is the definitive curative surgical operation for a resectable adenocarcinoma of the head of the pancreas?</t>
        </is>
      </c>
      <c r="C16" s="25" t="inlineStr">
        <is>
          <t>A. Whipple's procedure (Pancreaticoduodenectomy)</t>
        </is>
      </c>
      <c r="D16" s="25" t="inlineStr">
        <is>
          <t>B. distal Pancreatectomy</t>
        </is>
      </c>
      <c r="E16" s="25" t="inlineStr">
        <is>
          <t>C. Puestow procedure</t>
        </is>
      </c>
      <c r="F16" s="25" t="inlineStr">
        <is>
          <t>D. Frey procedure</t>
        </is>
      </c>
      <c r="G16" s="25" t="inlineStr">
        <is>
          <t>E. Hartmann's procedure</t>
        </is>
      </c>
      <c r="H16" s="22" t="n"/>
      <c r="I16" s="26">
        <f>IF(ISBLANK(H16), "", IF(H16='Answer Key &amp; Explanations'!C16, "✅ Correct", "❌ Incorrect (See Key)"))</f>
        <v/>
      </c>
    </row>
    <row r="17" ht="42" customHeight="1">
      <c r="A17" s="20" t="n">
        <v>9</v>
      </c>
      <c r="B17" s="21" t="inlineStr">
        <is>
          <t>What pathognomonic imaging finding on Contrast CT Abdomen indicates simultaneous dilation of both the Common Bile Duct and the Main Pancreatic Duct?</t>
        </is>
      </c>
      <c r="C17" s="21" t="inlineStr">
        <is>
          <t>A. Target sign</t>
        </is>
      </c>
      <c r="D17" s="21" t="inlineStr">
        <is>
          <t>B. Double-duct sign</t>
        </is>
      </c>
      <c r="E17" s="21" t="inlineStr">
        <is>
          <t>C. String sign</t>
        </is>
      </c>
      <c r="F17" s="21" t="inlineStr">
        <is>
          <t>D. Water-lily sign</t>
        </is>
      </c>
      <c r="G17" s="21" t="inlineStr">
        <is>
          <t>E. Mercedes-Benz sign</t>
        </is>
      </c>
      <c r="H17" s="22" t="n"/>
      <c r="I17" s="23">
        <f>IF(ISBLANK(H17), "", IF(H17='Answer Key &amp; Explanations'!C17, "✅ Correct", "❌ Incorrect (See Key)"))</f>
        <v/>
      </c>
    </row>
    <row r="18" ht="42" customHeight="1">
      <c r="A18" s="24" t="n">
        <v>10</v>
      </c>
      <c r="B18" s="25" t="inlineStr">
        <is>
          <t>What are the two most common underlying etiologies responsible for over 80% of cases of Acute Pancreatitis?</t>
        </is>
      </c>
      <c r="C18" s="25" t="inlineStr">
        <is>
          <t>A. Trauma and Hypercalcemia</t>
        </is>
      </c>
      <c r="D18" s="25" t="inlineStr">
        <is>
          <t>B. Gallstones and Alcohol abuse</t>
        </is>
      </c>
      <c r="E18" s="25" t="inlineStr">
        <is>
          <t>C. ERCP and Mumps</t>
        </is>
      </c>
      <c r="F18" s="25" t="inlineStr">
        <is>
          <t>D. Medications and Hypertriglyceridemia</t>
        </is>
      </c>
      <c r="G18" s="25" t="inlineStr">
        <is>
          <t>E. Autoimmune and Pancreas Divisum</t>
        </is>
      </c>
      <c r="H18" s="22" t="n"/>
      <c r="I18" s="26">
        <f>IF(ISBLANK(H18), "", IF(H18='Answer Key &amp; Explanations'!C18, "✅ Correct", "❌ Incorrect (See Key)"))</f>
        <v/>
      </c>
    </row>
    <row r="19" ht="42" customHeight="1">
      <c r="A19" s="20" t="n">
        <v>11</v>
      </c>
      <c r="B19" s="21" t="inlineStr">
        <is>
          <t>Which serum enzyme is the most sensitive and specific biomarker for the diagnosis of Acute Pancreatitis?</t>
        </is>
      </c>
      <c r="C19" s="21" t="inlineStr">
        <is>
          <t>A. Serum Amylase</t>
        </is>
      </c>
      <c r="D19" s="21" t="inlineStr">
        <is>
          <t>B. Serum Lipase</t>
        </is>
      </c>
      <c r="E19" s="21" t="inlineStr">
        <is>
          <t>C. Alkaline Phosphatase</t>
        </is>
      </c>
      <c r="F19" s="21" t="inlineStr">
        <is>
          <t>D. Alanine Aminotransferase (ALT)</t>
        </is>
      </c>
      <c r="G19" s="21" t="inlineStr">
        <is>
          <t>E. Lactate Dehydrogenase (LDH)</t>
        </is>
      </c>
      <c r="H19" s="22" t="n"/>
      <c r="I19" s="23">
        <f>IF(ISBLANK(H19), "", IF(H19='Answer Key &amp; Explanations'!C19, "✅ Correct", "❌ Incorrect (See Key)"))</f>
        <v/>
      </c>
    </row>
    <row r="20" ht="42" customHeight="1">
      <c r="A20" s="24" t="n">
        <v>12</v>
      </c>
      <c r="B20" s="25" t="inlineStr">
        <is>
          <t>Periumbilical ecchymosis observed in a patient with severe acute necrotizing pancreatitis represents retroperitoneal hemorrhage. What is this sign called?</t>
        </is>
      </c>
      <c r="C20" s="25" t="inlineStr">
        <is>
          <t>A. Grey Turner's sign</t>
        </is>
      </c>
      <c r="D20" s="25" t="inlineStr">
        <is>
          <t>B. Cullen's sign</t>
        </is>
      </c>
      <c r="E20" s="25" t="inlineStr">
        <is>
          <t>C. Fox's sign</t>
        </is>
      </c>
      <c r="F20" s="25" t="inlineStr">
        <is>
          <t>D. Kehr's sign</t>
        </is>
      </c>
      <c r="G20" s="25" t="inlineStr">
        <is>
          <t>E. Rovsing's sign</t>
        </is>
      </c>
      <c r="H20" s="22" t="n"/>
      <c r="I20" s="26">
        <f>IF(ISBLANK(H20), "", IF(H20='Answer Key &amp; Explanations'!C20, "✅ Correct", "❌ Incorrect (See Key)"))</f>
        <v/>
      </c>
    </row>
    <row r="21" ht="42" customHeight="1">
      <c r="A21" s="20" t="n">
        <v>13</v>
      </c>
      <c r="B21" s="21" t="inlineStr">
        <is>
          <t>Ecchymosis over the bilateral flanks in severe necrotizing pancreatitis is known as:</t>
        </is>
      </c>
      <c r="C21" s="21" t="inlineStr">
        <is>
          <t>A. Cullen's sign</t>
        </is>
      </c>
      <c r="D21" s="21" t="inlineStr">
        <is>
          <t>B. Grey Turner's sign</t>
        </is>
      </c>
      <c r="E21" s="21" t="inlineStr">
        <is>
          <t>C. Boas's sign</t>
        </is>
      </c>
      <c r="F21" s="21" t="inlineStr">
        <is>
          <t>D. Trousseau's sign</t>
        </is>
      </c>
      <c r="G21" s="21" t="inlineStr">
        <is>
          <t>E. Chvostek's sign</t>
        </is>
      </c>
      <c r="H21" s="22" t="n"/>
      <c r="I21" s="23">
        <f>IF(ISBLANK(H21), "", IF(H21='Answer Key &amp; Explanations'!C21, "✅ Correct", "❌ Incorrect (See Key)"))</f>
        <v/>
      </c>
    </row>
    <row r="22" ht="42" customHeight="1">
      <c r="A22" s="24" t="n">
        <v>14</v>
      </c>
      <c r="B22" s="25" t="inlineStr">
        <is>
          <t>What is the cornerstone of initial resuscitation during the first 24 hours of managing acute pancreatitis?</t>
        </is>
      </c>
      <c r="C22" s="25" t="inlineStr">
        <is>
          <t>A. Prophylactic IV Antibiotics</t>
        </is>
      </c>
      <c r="D22" s="25" t="inlineStr">
        <is>
          <t>B. Immediate ERCP</t>
        </is>
      </c>
      <c r="E22" s="25" t="inlineStr">
        <is>
          <t>C. Aggressive IV fluid resuscitation with Ringer's Lactate</t>
        </is>
      </c>
      <c r="F22" s="25" t="inlineStr">
        <is>
          <t>D. Emergency Laparotomy</t>
        </is>
      </c>
      <c r="G22" s="25" t="inlineStr">
        <is>
          <t>E. Total Parenteral Nutrition</t>
        </is>
      </c>
      <c r="H22" s="22" t="n"/>
      <c r="I22" s="26">
        <f>IF(ISBLANK(H22), "", IF(H22='Answer Key &amp; Explanations'!C22, "✅ Correct", "❌ Incorrect (See Key)"))</f>
        <v/>
      </c>
    </row>
    <row r="23" ht="42" customHeight="1">
      <c r="A23" s="20" t="n">
        <v>15</v>
      </c>
      <c r="B23" s="21" t="inlineStr">
        <is>
          <t>A fluid collection persisting for &gt; 4 weeks following acute pancreatitis, enclosed by a non-epithelialized fibrous wall, is defined as a:</t>
        </is>
      </c>
      <c r="C23" s="21" t="inlineStr">
        <is>
          <t>A. Pancreatic Abscess</t>
        </is>
      </c>
      <c r="D23" s="21" t="inlineStr">
        <is>
          <t>B. Pancreatic Pseudocyst</t>
        </is>
      </c>
      <c r="E23" s="21" t="inlineStr">
        <is>
          <t>C. Seroma</t>
        </is>
      </c>
      <c r="F23" s="21" t="inlineStr">
        <is>
          <t>D. Pancreatic Phlegmon</t>
        </is>
      </c>
      <c r="G23" s="21" t="inlineStr">
        <is>
          <t>E. Cystadenoma</t>
        </is>
      </c>
      <c r="H23" s="22" t="n"/>
      <c r="I23" s="23">
        <f>IF(ISBLANK(H23), "", IF(H23='Answer Key &amp; Explanations'!C23, "✅ Correct", "❌ Incorrect (See Key)"))</f>
        <v/>
      </c>
    </row>
    <row r="24" ht="42" customHeight="1">
      <c r="A24" s="24" t="n">
        <v>16</v>
      </c>
      <c r="B24" s="25" t="inlineStr">
        <is>
          <t>A 58-year-old male with long-standing Cirrhosis secondary to Chronic Hepatitis B infection presents with RUQ pain, weight loss, and a serum Alpha-Fetoprotein (AFP) of 800 ng/mL. What is the diagnosis?</t>
        </is>
      </c>
      <c r="C24" s="25" t="inlineStr">
        <is>
          <t>A. Cholangiocarcinoma</t>
        </is>
      </c>
      <c r="D24" s="25" t="inlineStr">
        <is>
          <t>B. Hepatocellular Carcinoma (HCC)</t>
        </is>
      </c>
      <c r="E24" s="25" t="inlineStr">
        <is>
          <t>C. Hepatic Hemangioma</t>
        </is>
      </c>
      <c r="F24" s="25" t="inlineStr">
        <is>
          <t>D. Focal Nodular Hyperplasia</t>
        </is>
      </c>
      <c r="G24" s="25" t="inlineStr">
        <is>
          <t>E. Metastatic Colon Cancer</t>
        </is>
      </c>
      <c r="H24" s="22" t="n"/>
      <c r="I24" s="26">
        <f>IF(ISBLANK(H24), "", IF(H24='Answer Key &amp; Explanations'!C24, "✅ Correct", "❌ Incorrect (See Key)"))</f>
        <v/>
      </c>
    </row>
    <row r="25" ht="42" customHeight="1">
      <c r="A25" s="20" t="n">
        <v>17</v>
      </c>
      <c r="B25" s="21" t="inlineStr">
        <is>
          <t>What is the classic diagnostic vascular pattern of Hepatocellular Carcinoma (HCC) on Triphasic CT Scan?</t>
        </is>
      </c>
      <c r="C25" s="21" t="inlineStr">
        <is>
          <t>A. Delayed peripheral enhancement</t>
        </is>
      </c>
      <c r="D25" s="21" t="inlineStr">
        <is>
          <t>B. Early arterial phase hyperenhancement with venous phase washout</t>
        </is>
      </c>
      <c r="E25" s="21" t="inlineStr">
        <is>
          <t>C. Central calcification without contrast uptake</t>
        </is>
      </c>
      <c r="F25" s="21" t="inlineStr">
        <is>
          <t>D. Persistent fill-in from periphery to center</t>
        </is>
      </c>
      <c r="G25" s="21" t="inlineStr">
        <is>
          <t>E. Uniform hypodensity in all phases</t>
        </is>
      </c>
      <c r="H25" s="22" t="n"/>
      <c r="I25" s="23">
        <f>IF(ISBLANK(H25), "", IF(H25='Answer Key &amp; Explanations'!C25, "✅ Correct", "❌ Incorrect (See Key)"))</f>
        <v/>
      </c>
    </row>
    <row r="26" ht="42" customHeight="1">
      <c r="A26" s="24" t="n">
        <v>18</v>
      </c>
      <c r="B26" s="25" t="inlineStr">
        <is>
          <t>Which clinical staging system is widely used to guide treatment algorithms for Hepatocellular Carcinoma based on tumor burden, liver function, and performance status?</t>
        </is>
      </c>
      <c r="C26" s="25" t="inlineStr">
        <is>
          <t>A. TNM Staging</t>
        </is>
      </c>
      <c r="D26" s="25" t="inlineStr">
        <is>
          <t>B. Barcelona Clinic Liver Cancer (BCLC) System</t>
        </is>
      </c>
      <c r="E26" s="25" t="inlineStr">
        <is>
          <t>C. Child-Pugh Score</t>
        </is>
      </c>
      <c r="F26" s="25" t="inlineStr">
        <is>
          <t>D. MELD Score</t>
        </is>
      </c>
      <c r="G26" s="25" t="inlineStr">
        <is>
          <t>E. Dukes Staging</t>
        </is>
      </c>
      <c r="H26" s="22" t="n"/>
      <c r="I26" s="26">
        <f>IF(ISBLANK(H26), "", IF(H26='Answer Key &amp; Explanations'!C26, "✅ Correct", "❌ Incorrect (See Key)"))</f>
        <v/>
      </c>
    </row>
    <row r="27" ht="42" customHeight="1">
      <c r="A27" s="20" t="n">
        <v>19</v>
      </c>
      <c r="B27" s="21" t="inlineStr">
        <is>
          <t>A 42-year-old female presents with severe episodic RUQ pain triggered by fatty meals, radiating to the right scapula, accompanied by positive Murphy's sign and fever. What is the diagnosis?</t>
        </is>
      </c>
      <c r="C27" s="21" t="inlineStr">
        <is>
          <t>A. Acute Calculous Cholecystitis</t>
        </is>
      </c>
      <c r="D27" s="21" t="inlineStr">
        <is>
          <t>B. Acute Appendicitis</t>
        </is>
      </c>
      <c r="E27" s="21" t="inlineStr">
        <is>
          <t>C. Perforated Peptic Ulcer</t>
        </is>
      </c>
      <c r="F27" s="21" t="inlineStr">
        <is>
          <t>D. Acute Gastritis</t>
        </is>
      </c>
      <c r="G27" s="21" t="inlineStr">
        <is>
          <t>E. Renal Colic</t>
        </is>
      </c>
      <c r="H27" s="22" t="n"/>
      <c r="I27" s="23">
        <f>IF(ISBLANK(H27), "", IF(H27='Answer Key &amp; Explanations'!C27, "✅ Correct", "❌ Incorrect (See Key)"))</f>
        <v/>
      </c>
    </row>
    <row r="28" ht="42" customHeight="1">
      <c r="A28" s="24" t="n">
        <v>20</v>
      </c>
      <c r="B28" s="25" t="inlineStr">
        <is>
          <t>What ultrasound finding is most specific for Acute Cholecystitis?</t>
        </is>
      </c>
      <c r="C28" s="25" t="inlineStr">
        <is>
          <t>A. Gallbladder wall thickness &gt; 4 mm with pericholecystic fluid and sonographic Murphy's sign</t>
        </is>
      </c>
      <c r="D28" s="25" t="inlineStr">
        <is>
          <t>B. Normal gallbladder wall with single mobile calculus</t>
        </is>
      </c>
      <c r="E28" s="25" t="inlineStr">
        <is>
          <t>C. Distended stomach with gas</t>
        </is>
      </c>
      <c r="F28" s="25" t="inlineStr">
        <is>
          <t>D. Dilated portal vein &gt; 13 mm</t>
        </is>
      </c>
      <c r="G28" s="25" t="inlineStr">
        <is>
          <t>E. Splenomegaly</t>
        </is>
      </c>
      <c r="H28" s="22" t="n"/>
      <c r="I28" s="26">
        <f>IF(ISBLANK(H28), "", IF(H28='Answer Key &amp; Explanations'!C28, "✅ Correct", "❌ Incorrect (See Key)"))</f>
        <v/>
      </c>
    </row>
    <row r="29" ht="42" customHeight="1">
      <c r="A29" s="20" t="n">
        <v>21</v>
      </c>
      <c r="B29" s="21" t="inlineStr">
        <is>
          <t>Extrinsic compression of the common hepatic duct caused by a gallstone impacted in the cystic duct or Hartmann's pouch is known as:</t>
        </is>
      </c>
      <c r="C29" s="21" t="inlineStr">
        <is>
          <t>A. Caroli's disease</t>
        </is>
      </c>
      <c r="D29" s="21" t="inlineStr">
        <is>
          <t>B. Mirizzi syndrome</t>
        </is>
      </c>
      <c r="E29" s="21" t="inlineStr">
        <is>
          <t>C. Budd-Chiari syndrome</t>
        </is>
      </c>
      <c r="F29" s="21" t="inlineStr">
        <is>
          <t>D. Kasabach-Merritt syndrome</t>
        </is>
      </c>
      <c r="G29" s="21" t="inlineStr">
        <is>
          <t>E. Plummer-Vinson syndrome</t>
        </is>
      </c>
      <c r="H29" s="22" t="n"/>
      <c r="I29" s="23">
        <f>IF(ISBLANK(H29), "", IF(H29='Answer Key &amp; Explanations'!C29, "✅ Correct", "❌ Incorrect (See Key)"))</f>
        <v/>
      </c>
    </row>
    <row r="30" ht="42" customHeight="1">
      <c r="A30" s="24" t="n">
        <v>22</v>
      </c>
      <c r="B30" s="25" t="inlineStr">
        <is>
          <t>Mechanical small bowel obstruction caused by an eroded gallstone impicting in the ileocecal valve is called:</t>
        </is>
      </c>
      <c r="C30" s="25" t="inlineStr">
        <is>
          <t>A. Biliary colic</t>
        </is>
      </c>
      <c r="D30" s="25" t="inlineStr">
        <is>
          <t>B. Gallstone ileus</t>
        </is>
      </c>
      <c r="E30" s="25" t="inlineStr">
        <is>
          <t>C. Emphysematous cholecystitis</t>
        </is>
      </c>
      <c r="F30" s="25" t="inlineStr">
        <is>
          <t>D. Ogilvie's syndrome</t>
        </is>
      </c>
      <c r="G30" s="25" t="inlineStr">
        <is>
          <t>E. Intussusception</t>
        </is>
      </c>
      <c r="H30" s="22" t="n"/>
      <c r="I30" s="26">
        <f>IF(ISBLANK(H30), "", IF(H30='Answer Key &amp; Explanations'!C30, "✅ Correct", "❌ Incorrect (See Key)"))</f>
        <v/>
      </c>
    </row>
    <row r="31" ht="42" customHeight="1">
      <c r="A31" s="20" t="n">
        <v>23</v>
      </c>
      <c r="B31" s="21" t="inlineStr">
        <is>
          <t>What classic radiological triad (Rigler's Triad) characterizes Gallstone Ileus on plain abdominal X-ray?</t>
        </is>
      </c>
      <c r="C31" s="21" t="inlineStr">
        <is>
          <t>A. Pneumoperitoneum, ascites, calcified pancreas</t>
        </is>
      </c>
      <c r="D31" s="21" t="inlineStr">
        <is>
          <t>B. Pneumobilia, small bowel obstruction, and ectopic gallstone</t>
        </is>
      </c>
      <c r="E31" s="21" t="inlineStr">
        <is>
          <t>C. Portal vein gas, distended stomach, appendicolith</t>
        </is>
      </c>
      <c r="F31" s="21" t="inlineStr">
        <is>
          <t>D. Pleural effusion, atelectasis, elevated diaphragm</t>
        </is>
      </c>
      <c r="G31" s="21" t="inlineStr">
        <is>
          <t>E. Double bubble sign, distended colon, fecalith</t>
        </is>
      </c>
      <c r="H31" s="22" t="n"/>
      <c r="I31" s="23">
        <f>IF(ISBLANK(H31), "", IF(H31='Answer Key &amp; Explanations'!C31, "✅ Correct", "❌ Incorrect (See Key)"))</f>
        <v/>
      </c>
    </row>
    <row r="32" ht="42" customHeight="1">
      <c r="A32" s="24" t="n">
        <v>24</v>
      </c>
      <c r="B32" s="25" t="inlineStr">
        <is>
          <t>A 35-year-old male presents with high swinging fever, rigors, RUQ pain, and hepatomegaly. Aspiration yields thick brown 'anchovy-sauce' pus. What is the primary treatment?</t>
        </is>
      </c>
      <c r="C32" s="25" t="inlineStr">
        <is>
          <t>A. Emergency Surgical Resection</t>
        </is>
      </c>
      <c r="D32" s="25" t="inlineStr">
        <is>
          <t>B. Metronidazole (or Tinidazole)</t>
        </is>
      </c>
      <c r="E32" s="25" t="inlineStr">
        <is>
          <t>C. Long-term Penicillin V</t>
        </is>
      </c>
      <c r="F32" s="25" t="inlineStr">
        <is>
          <t>D. Albendazole alone</t>
        </is>
      </c>
      <c r="G32" s="25" t="inlineStr">
        <is>
          <t>E. Immediate Liver Transplantation</t>
        </is>
      </c>
      <c r="H32" s="22" t="n"/>
      <c r="I32" s="26">
        <f>IF(ISBLANK(H32), "", IF(H32='Answer Key &amp; Explanations'!C32, "✅ Correct", "❌ Incorrect (See Key)"))</f>
        <v/>
      </c>
    </row>
    <row r="33" ht="42" customHeight="1">
      <c r="A33" s="20" t="n">
        <v>25</v>
      </c>
      <c r="B33" s="21" t="inlineStr">
        <is>
          <t>What is the causative organism of Amoebic Liver Abscess?</t>
        </is>
      </c>
      <c r="C33" s="21" t="inlineStr">
        <is>
          <t>A. *Entamoeba histolytica*</t>
        </is>
      </c>
      <c r="D33" s="21" t="inlineStr">
        <is>
          <t>B. *Echinococcus granulosus*</t>
        </is>
      </c>
      <c r="E33" s="21" t="inlineStr">
        <is>
          <t>C. *Escherichia coli*</t>
        </is>
      </c>
      <c r="F33" s="21" t="inlineStr">
        <is>
          <t>D. *Ascaris lumbricoides*</t>
        </is>
      </c>
      <c r="G33" s="21" t="inlineStr">
        <is>
          <t>E. *Plasmodium falciparum*</t>
        </is>
      </c>
      <c r="H33" s="22" t="n"/>
      <c r="I33" s="23">
        <f>IF(ISBLANK(H33), "", IF(H33='Answer Key &amp; Explanations'!C33, "✅ Correct", "❌ Incorrect (See Key)"))</f>
        <v/>
      </c>
    </row>
    <row r="34" ht="42" customHeight="1">
      <c r="A34" s="24" t="n">
        <v>26</v>
      </c>
      <c r="B34" s="25" t="inlineStr">
        <is>
          <t>Pyogenic liver abscesses are most commonly polymicrobial and originate from ascending biliary infection. What is the first-line treatment for a 5 cm solitary pyogenic abscess?</t>
        </is>
      </c>
      <c r="C34" s="25" t="inlineStr">
        <is>
          <t>A. Oral Anthelmintics alone</t>
        </is>
      </c>
      <c r="D34" s="25" t="inlineStr">
        <is>
          <t>B. Percutaneous drainage + IV broad-spectrum antibiotics</t>
        </is>
      </c>
      <c r="E34" s="25" t="inlineStr">
        <is>
          <t>C. Open Right Hepatectomy</t>
        </is>
      </c>
      <c r="F34" s="25" t="inlineStr">
        <is>
          <t>D. Watchful waiting</t>
        </is>
      </c>
      <c r="G34" s="25" t="inlineStr">
        <is>
          <t>E. Chemotherapy</t>
        </is>
      </c>
      <c r="H34" s="22" t="n"/>
      <c r="I34" s="26">
        <f>IF(ISBLANK(H34), "", IF(H34='Answer Key &amp; Explanations'!C34, "✅ Correct", "❌ Incorrect (See Key)"))</f>
        <v/>
      </c>
    </row>
    <row r="35" ht="42" customHeight="1">
      <c r="A35" s="20" t="n">
        <v>27</v>
      </c>
      <c r="B35" s="21" t="inlineStr">
        <is>
          <t>A farmer presents with a slow-growing cystic liver mass. Imaging reveals a calcified cyst with multiple internal daughter cysts ('water-lily sign'). What parasite causes this?</t>
        </is>
      </c>
      <c r="C35" s="21" t="inlineStr">
        <is>
          <t>A. *Echinococcus granulosus* (Hydatid disease)</t>
        </is>
      </c>
      <c r="D35" s="21" t="inlineStr">
        <is>
          <t>B. *Schistosoma mansoni*</t>
        </is>
      </c>
      <c r="E35" s="21" t="inlineStr">
        <is>
          <t>C. *Taenia solium*</t>
        </is>
      </c>
      <c r="F35" s="21" t="inlineStr">
        <is>
          <t>D. *Strongyloides stercoralis*</t>
        </is>
      </c>
      <c r="G35" s="21" t="inlineStr">
        <is>
          <t>E. *Fasciola hepatica*</t>
        </is>
      </c>
      <c r="H35" s="22" t="n"/>
      <c r="I35" s="23">
        <f>IF(ISBLANK(H35), "", IF(H35='Answer Key &amp; Explanations'!C35, "✅ Correct", "❌ Incorrect (See Key)"))</f>
        <v/>
      </c>
    </row>
    <row r="36" ht="42" customHeight="1">
      <c r="A36" s="24" t="n">
        <v>28</v>
      </c>
      <c r="B36" s="25" t="inlineStr">
        <is>
          <t>What medical therapy is administered pre- and post-operatively to prevent anaphylaxis and recurrence during hydatid cyst surgery or PAIR procedure?</t>
        </is>
      </c>
      <c r="C36" s="25" t="inlineStr">
        <is>
          <t>A. Metronidazole</t>
        </is>
      </c>
      <c r="D36" s="25" t="inlineStr">
        <is>
          <t>B. Albendazole</t>
        </is>
      </c>
      <c r="E36" s="25" t="inlineStr">
        <is>
          <t>C. Ciprofloxacin</t>
        </is>
      </c>
      <c r="F36" s="25" t="inlineStr">
        <is>
          <t>D. Rifampicin</t>
        </is>
      </c>
      <c r="G36" s="25" t="inlineStr">
        <is>
          <t>E. Fluconazole</t>
        </is>
      </c>
      <c r="H36" s="22" t="n"/>
      <c r="I36" s="26">
        <f>IF(ISBLANK(H36), "", IF(H36='Answer Key &amp; Explanations'!C36, "✅ Correct", "❌ Incorrect (See Key)"))</f>
        <v/>
      </c>
    </row>
    <row r="37" ht="42" customHeight="1">
      <c r="A37" s="20" t="n">
        <v>29</v>
      </c>
      <c r="B37" s="21" t="inlineStr">
        <is>
          <t>A 45-year-old male with long-standing Ulcerative Colitis presents with cholestatic jaundice and pruritus. MRCP shows multifocal strictures and dilations ('beaded appearance') of intrahepatic and extrahepatic bile ducts. What is the diagnosis?</t>
        </is>
      </c>
      <c r="C37" s="21" t="inlineStr">
        <is>
          <t>A. Primary Sclerosing Cholangitis (PSC)</t>
        </is>
      </c>
      <c r="D37" s="21" t="inlineStr">
        <is>
          <t>B. Primary Biliary Cholangitis (PBC)</t>
        </is>
      </c>
      <c r="E37" s="21" t="inlineStr">
        <is>
          <t>C. Choledochal cyst</t>
        </is>
      </c>
      <c r="F37" s="21" t="inlineStr">
        <is>
          <t>D. Pyogenic cholangitis</t>
        </is>
      </c>
      <c r="G37" s="21" t="inlineStr">
        <is>
          <t>E. Ascariasis</t>
        </is>
      </c>
      <c r="H37" s="22" t="n"/>
      <c r="I37" s="23">
        <f>IF(ISBLANK(H37), "", IF(H37='Answer Key &amp; Explanations'!C37, "✅ Correct", "❌ Incorrect (See Key)"))</f>
        <v/>
      </c>
    </row>
    <row r="38" ht="42" customHeight="1">
      <c r="A38" s="24" t="n">
        <v>30</v>
      </c>
      <c r="B38" s="25" t="inlineStr">
        <is>
          <t>A patient presents with fluctuating obstructive jaundice and anemia. Endoscopy reveals a ulcerative lesion at the ampulla of Vater with sloughing tissue. What is the diagnosis?</t>
        </is>
      </c>
      <c r="C38" s="25" t="inlineStr">
        <is>
          <t>A. Periampullary Carcinoma</t>
        </is>
      </c>
      <c r="D38" s="25" t="inlineStr">
        <is>
          <t>B. Cholangiocarcinoma</t>
        </is>
      </c>
      <c r="E38" s="25" t="inlineStr">
        <is>
          <t>C. Hepatocellular Carcinoma</t>
        </is>
      </c>
      <c r="F38" s="25" t="inlineStr">
        <is>
          <t>D. GIST of stomach</t>
        </is>
      </c>
      <c r="G38" s="25" t="inlineStr">
        <is>
          <t>E. Gallbladder Carcinoma</t>
        </is>
      </c>
      <c r="H38" s="22" t="n"/>
      <c r="I38" s="26">
        <f>IF(ISBLANK(H38), "", IF(H38='Answer Key &amp; Explanations'!C38, "✅ Correct", "❌ Incorrect (See Key)"))</f>
        <v/>
      </c>
    </row>
  </sheetData>
  <mergeCells count="2">
    <mergeCell ref="A1:I1"/>
    <mergeCell ref="A3:B3"/>
  </mergeCells>
  <dataValidations count="1">
    <dataValidation sqref="H9:H38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6" customWidth="1" min="3" max="3"/>
    <col width="65" customWidth="1" min="4" max="4"/>
    <col width="25" customWidth="1" min="5" max="5"/>
  </cols>
  <sheetData>
    <row r="1" ht="28" customHeight="1">
      <c r="A1" s="1" t="inlineStr">
        <is>
          <t>MODULE 5: HEPATOBILIARY &amp; PANCREATIC SURGERY - ANSWER KEY &amp; EXPLANATIONS</t>
        </is>
      </c>
    </row>
    <row r="8" ht="24" customHeight="1">
      <c r="A8" s="4" t="inlineStr">
        <is>
          <t>Q#</t>
        </is>
      </c>
      <c r="B8" s="4" t="inlineStr">
        <is>
          <t>Topic / Clinical Domain</t>
        </is>
      </c>
      <c r="C8" s="4" t="inlineStr">
        <is>
          <t>Correct Answer</t>
        </is>
      </c>
      <c r="D8" s="4" t="inlineStr">
        <is>
          <t>Detailed Clinical Explanation &amp; Textbook Rationale</t>
        </is>
      </c>
      <c r="E8" s="4" t="inlineStr">
        <is>
          <t>Source Reference</t>
        </is>
      </c>
    </row>
    <row r="9" ht="36" customHeight="1">
      <c r="A9" s="20" t="n">
        <v>1</v>
      </c>
      <c r="B9" s="21" t="inlineStr">
        <is>
          <t>Cholangitis</t>
        </is>
      </c>
      <c r="C9" s="18" t="inlineStr">
        <is>
          <t>B</t>
        </is>
      </c>
      <c r="D9" s="21" t="inlineStr">
        <is>
          <t>Charcot's Triad consists of RUQ pain, spiking fever with chills/rigors, and jaundice, classic for acute ascending cholangitis.</t>
        </is>
      </c>
      <c r="E9" s="21" t="inlineStr">
        <is>
          <t>Surgery HBPS Lecture Notes</t>
        </is>
      </c>
    </row>
    <row r="10" ht="36" customHeight="1">
      <c r="A10" s="24" t="n">
        <v>2</v>
      </c>
      <c r="B10" s="25" t="inlineStr">
        <is>
          <t>Cholangitis Sepsis</t>
        </is>
      </c>
      <c r="C10" s="18" t="inlineStr">
        <is>
          <t>A</t>
        </is>
      </c>
      <c r="D10" s="25" t="inlineStr">
        <is>
          <t>Reynolds' Pentad adds hypotension (septic shock) and altered mental status to Charcot's triad, indicating severe life-threatening biliary sepsis.</t>
        </is>
      </c>
      <c r="E10" s="25" t="inlineStr">
        <is>
          <t>Surgery HBPS Lecture Notes</t>
        </is>
      </c>
    </row>
    <row r="11" ht="36" customHeight="1">
      <c r="A11" s="20" t="n">
        <v>3</v>
      </c>
      <c r="B11" s="21" t="inlineStr">
        <is>
          <t>Cholangitis Treatment</t>
        </is>
      </c>
      <c r="C11" s="18" t="inlineStr">
        <is>
          <t>C</t>
        </is>
      </c>
      <c r="D11" s="21" t="inlineStr">
        <is>
          <t>Urgent ERCP with endoscopic sphincterotomy and biliary stenting/drainage is the emergency treatment of choice to decompress the infected obstructed bile duct.</t>
        </is>
      </c>
      <c r="E11" s="21" t="inlineStr">
        <is>
          <t>Surgery HBPS Lecture Notes</t>
        </is>
      </c>
    </row>
    <row r="12" ht="36" customHeight="1">
      <c r="A12" s="24" t="n">
        <v>4</v>
      </c>
      <c r="B12" s="25" t="inlineStr">
        <is>
          <t>Choledocholithiasis</t>
        </is>
      </c>
      <c r="C12" s="18" t="inlineStr">
        <is>
          <t>B</t>
        </is>
      </c>
      <c r="D12" s="25" t="inlineStr">
        <is>
          <t>A dilated CBD containing a hyperechoic calculus casting acoustic shadowing on ultrasound defines choledocholithiasis.</t>
        </is>
      </c>
      <c r="E12" s="25" t="inlineStr">
        <is>
          <t>Surgery HBPS Lecture Notes</t>
        </is>
      </c>
    </row>
    <row r="13" ht="36" customHeight="1">
      <c r="A13" s="20" t="n">
        <v>5</v>
      </c>
      <c r="B13" s="21" t="inlineStr">
        <is>
          <t>Courvoisier's Law</t>
        </is>
      </c>
      <c r="C13" s="18" t="inlineStr">
        <is>
          <t>B</t>
        </is>
      </c>
      <c r="D13" s="21" t="inlineStr">
        <is>
          <t>Courvoisier's law states that in a jaundiced patient, a palpably enlarged non-tender gallbladder is unlikely due to gallstones (usually malignant obstruction like pancreatic head cancer).</t>
        </is>
      </c>
      <c r="E13" s="21" t="inlineStr">
        <is>
          <t>Surgery HBPS Lecture Notes</t>
        </is>
      </c>
    </row>
    <row r="14" ht="36" customHeight="1">
      <c r="A14" s="24" t="n">
        <v>6</v>
      </c>
      <c r="B14" s="25" t="inlineStr">
        <is>
          <t>Pancreatic Cancer</t>
        </is>
      </c>
      <c r="C14" s="18" t="inlineStr">
        <is>
          <t>B</t>
        </is>
      </c>
      <c r="D14" s="25" t="inlineStr">
        <is>
          <t>Painless progressive obstructive jaundice accompanied by weight loss, acholic (clay) stools, and tea-colored urine is pathognomonic for carcinoma of the head of the pancreas.</t>
        </is>
      </c>
      <c r="E14" s="25" t="inlineStr">
        <is>
          <t>Surgery HBPS Lecture Notes</t>
        </is>
      </c>
    </row>
    <row r="15" ht="36" customHeight="1">
      <c r="A15" s="20" t="n">
        <v>7</v>
      </c>
      <c r="B15" s="21" t="inlineStr">
        <is>
          <t>Tumor Markers</t>
        </is>
      </c>
      <c r="C15" s="18" t="inlineStr">
        <is>
          <t>C</t>
        </is>
      </c>
      <c r="D15" s="21" t="inlineStr">
        <is>
          <t>CA 19-9 is the primary serum tumor marker used for diagnosis and monitoring of pancreatic ductal adenocarcinoma.</t>
        </is>
      </c>
      <c r="E15" s="21" t="inlineStr">
        <is>
          <t>Surgery HBPS Lecture Notes</t>
        </is>
      </c>
    </row>
    <row r="16" ht="36" customHeight="1">
      <c r="A16" s="24" t="n">
        <v>8</v>
      </c>
      <c r="B16" s="25" t="inlineStr">
        <is>
          <t>Whipple Procedure</t>
        </is>
      </c>
      <c r="C16" s="18" t="inlineStr">
        <is>
          <t>A</t>
        </is>
      </c>
      <c r="D16" s="25" t="inlineStr">
        <is>
          <t>Pancreaticoduodenectomy (Whipple's procedure) is the standard radical resective operation for localized carcinoma of the head of the pancreas and periampullary region.</t>
        </is>
      </c>
      <c r="E16" s="25" t="inlineStr">
        <is>
          <t>Surgery HBPS Lecture Notes</t>
        </is>
      </c>
    </row>
    <row r="17" ht="36" customHeight="1">
      <c r="A17" s="20" t="n">
        <v>9</v>
      </c>
      <c r="B17" s="21" t="inlineStr">
        <is>
          <t>Double-Duct Sign</t>
        </is>
      </c>
      <c r="C17" s="18" t="inlineStr">
        <is>
          <t>B</t>
        </is>
      </c>
      <c r="D17" s="21" t="inlineStr">
        <is>
          <t>Simultaneous dilatation of both the common bile duct and main pancreatic duct on CT/MRCP is known as the double-duct sign.</t>
        </is>
      </c>
      <c r="E17" s="21" t="inlineStr">
        <is>
          <t>Surgery HBPS Lecture Notes</t>
        </is>
      </c>
    </row>
    <row r="18" ht="36" customHeight="1">
      <c r="A18" s="24" t="n">
        <v>10</v>
      </c>
      <c r="B18" s="25" t="inlineStr">
        <is>
          <t>Pancreatitis Etiology</t>
        </is>
      </c>
      <c r="C18" s="18" t="inlineStr">
        <is>
          <t>B</t>
        </is>
      </c>
      <c r="D18" s="25" t="inlineStr">
        <is>
          <t>Gallstones (biliary pancreatitis) and chronic alcohol abuse account for over 80% of all cases of acute pancreatitis.</t>
        </is>
      </c>
      <c r="E18" s="25" t="inlineStr">
        <is>
          <t>Surgery HBPS Lecture Notes</t>
        </is>
      </c>
    </row>
    <row r="19" ht="36" customHeight="1">
      <c r="A19" s="20" t="n">
        <v>11</v>
      </c>
      <c r="B19" s="21" t="inlineStr">
        <is>
          <t>Pancreatitis Biomarkers</t>
        </is>
      </c>
      <c r="C19" s="18" t="inlineStr">
        <is>
          <t>B</t>
        </is>
      </c>
      <c r="D19" s="21" t="inlineStr">
        <is>
          <t>Serum Lipase is more sensitive and remains elevated longer than serum amylase, making it the superior biomarker (&gt;3x upper limit of normal).</t>
        </is>
      </c>
      <c r="E19" s="21" t="inlineStr">
        <is>
          <t>Surgery HBPS Lecture Notes</t>
        </is>
      </c>
    </row>
    <row r="20" ht="36" customHeight="1">
      <c r="A20" s="24" t="n">
        <v>12</v>
      </c>
      <c r="B20" s="25" t="inlineStr">
        <is>
          <t>Cullen's Sign</t>
        </is>
      </c>
      <c r="C20" s="18" t="inlineStr">
        <is>
          <t>B</t>
        </is>
      </c>
      <c r="D20" s="25" t="inlineStr">
        <is>
          <t>Cullen's sign is periumbilical ecchymosis resulting from retroperitoneal blood tracking along the falciform ligament in severe necrotizing pancreatitis.</t>
        </is>
      </c>
      <c r="E20" s="25" t="inlineStr">
        <is>
          <t>Surgery HBPS Lecture Notes</t>
        </is>
      </c>
    </row>
    <row r="21" ht="36" customHeight="1">
      <c r="A21" s="20" t="n">
        <v>13</v>
      </c>
      <c r="B21" s="21" t="inlineStr">
        <is>
          <t>Grey Turner's Sign</t>
        </is>
      </c>
      <c r="C21" s="18" t="inlineStr">
        <is>
          <t>B</t>
        </is>
      </c>
      <c r="D21" s="21" t="inlineStr">
        <is>
          <t>Grey Turner's sign is flank ecchymosis caused by retroperitoneal blood tracking along tissue planes in acute pancreatitis.</t>
        </is>
      </c>
      <c r="E21" s="21" t="inlineStr">
        <is>
          <t>Surgery HBPS Lecture Notes</t>
        </is>
      </c>
    </row>
    <row r="22" ht="36" customHeight="1">
      <c r="A22" s="24" t="n">
        <v>14</v>
      </c>
      <c r="B22" s="25" t="inlineStr">
        <is>
          <t>Pancreatitis Fluid Resuscitation</t>
        </is>
      </c>
      <c r="C22" s="18" t="inlineStr">
        <is>
          <t>C</t>
        </is>
      </c>
      <c r="D22" s="25" t="inlineStr">
        <is>
          <t>Aggressive IV fluid hydration with balanced crystalloids (Ringer's Lactate) is the cornerstone of early management in acute pancreatitis.</t>
        </is>
      </c>
      <c r="E22" s="25" t="inlineStr">
        <is>
          <t>Surgery HBPS Lecture Notes</t>
        </is>
      </c>
    </row>
    <row r="23" ht="36" customHeight="1">
      <c r="A23" s="20" t="n">
        <v>15</v>
      </c>
      <c r="B23" s="21" t="inlineStr">
        <is>
          <t>Pancreatic Pseudocyst</t>
        </is>
      </c>
      <c r="C23" s="18" t="inlineStr">
        <is>
          <t>B</t>
        </is>
      </c>
      <c r="D23" s="21" t="inlineStr">
        <is>
          <t>A pseudocyst is a fluid collection surrounded by a wall of fibrous/granulation tissue (lacking epithelial lining) persisting &gt;4 weeks post-pancreatitis.</t>
        </is>
      </c>
      <c r="E23" s="21" t="inlineStr">
        <is>
          <t>Surgery HBPS Lecture Notes</t>
        </is>
      </c>
    </row>
    <row r="24" ht="36" customHeight="1">
      <c r="A24" s="24" t="n">
        <v>16</v>
      </c>
      <c r="B24" s="25" t="inlineStr">
        <is>
          <t>Hepatocellular Carcinoma</t>
        </is>
      </c>
      <c r="C24" s="18" t="inlineStr">
        <is>
          <t>B</t>
        </is>
      </c>
      <c r="D24" s="25" t="inlineStr">
        <is>
          <t>HCC arises in cirrhotic livers (often HBV/HCV) and characteristically produces markedly elevated serum Alpha-Fetoprotein (AFP &gt; 400 ng/mL).</t>
        </is>
      </c>
      <c r="E24" s="25" t="inlineStr">
        <is>
          <t>Surgery HBPS Lecture Notes</t>
        </is>
      </c>
    </row>
    <row r="25" ht="36" customHeight="1">
      <c r="A25" s="20" t="n">
        <v>17</v>
      </c>
      <c r="B25" s="21" t="inlineStr">
        <is>
          <t>HCC Triphasic CT</t>
        </is>
      </c>
      <c r="C25" s="18" t="inlineStr">
        <is>
          <t>B</t>
        </is>
      </c>
      <c r="D25" s="21" t="inlineStr">
        <is>
          <t>HCC demonstrates characteristic intense arterial phase hyperenhancement followed by rapid portal venous/delayed phase washout on dynamic triphasic CT.</t>
        </is>
      </c>
      <c r="E25" s="21" t="inlineStr">
        <is>
          <t>Surgery HBPS Lecture Notes</t>
        </is>
      </c>
    </row>
    <row r="26" ht="36" customHeight="1">
      <c r="A26" s="24" t="n">
        <v>18</v>
      </c>
      <c r="B26" s="25" t="inlineStr">
        <is>
          <t>BCLC Staging</t>
        </is>
      </c>
      <c r="C26" s="18" t="inlineStr">
        <is>
          <t>B</t>
        </is>
      </c>
      <c r="D26" s="25" t="inlineStr">
        <is>
          <t>The Barcelona Clinic Liver Cancer (BCLC) system staging combines tumor extent, Child-Pugh liver function, and performance status to guide therapy.</t>
        </is>
      </c>
      <c r="E26" s="25" t="inlineStr">
        <is>
          <t>Surgery HBPS Lecture Notes</t>
        </is>
      </c>
    </row>
    <row r="27" ht="36" customHeight="1">
      <c r="A27" s="20" t="n">
        <v>19</v>
      </c>
      <c r="B27" s="21" t="inlineStr">
        <is>
          <t>Acute Cholecystitis</t>
        </is>
      </c>
      <c r="C27" s="18" t="inlineStr">
        <is>
          <t>A</t>
        </is>
      </c>
      <c r="D27" s="21" t="inlineStr">
        <is>
          <t>Fatty meal-induced RUQ pain radiating to the right shoulder blade, fever, leucocytosis, and positive Murphy's sign indicate acute calculous cholecystitis.</t>
        </is>
      </c>
      <c r="E27" s="21" t="inlineStr">
        <is>
          <t>Surgery HBPS Lecture Notes</t>
        </is>
      </c>
    </row>
    <row r="28" ht="36" customHeight="1">
      <c r="A28" s="24" t="n">
        <v>20</v>
      </c>
      <c r="B28" s="25" t="inlineStr">
        <is>
          <t>USG Cholecystitis</t>
        </is>
      </c>
      <c r="C28" s="18" t="inlineStr">
        <is>
          <t>A</t>
        </is>
      </c>
      <c r="D28" s="25" t="inlineStr">
        <is>
          <t>Gallbladder wall thickening (&gt;4 mm), pericholecystic fluid, luminal stones, and sonographic Murphy's sign confirm acute cholecystitis.</t>
        </is>
      </c>
      <c r="E28" s="25" t="inlineStr">
        <is>
          <t>Surgery HBPS Lecture Notes</t>
        </is>
      </c>
    </row>
    <row r="29" ht="36" customHeight="1">
      <c r="A29" s="20" t="n">
        <v>21</v>
      </c>
      <c r="B29" s="21" t="inlineStr">
        <is>
          <t>Mirizzi Syndrome</t>
        </is>
      </c>
      <c r="C29" s="18" t="inlineStr">
        <is>
          <t>B</t>
        </is>
      </c>
      <c r="D29" s="21" t="inlineStr">
        <is>
          <t>Mirizzi syndrome occurs when a stone impacted in the cystic duct or Hartmann's pouch extrinsically compresses the adjacent common hepatic duct.</t>
        </is>
      </c>
      <c r="E29" s="21" t="inlineStr">
        <is>
          <t>Surgery HBPS Lecture Notes</t>
        </is>
      </c>
    </row>
    <row r="30" ht="36" customHeight="1">
      <c r="A30" s="24" t="n">
        <v>22</v>
      </c>
      <c r="B30" s="25" t="inlineStr">
        <is>
          <t>Gallstone Ileus</t>
        </is>
      </c>
      <c r="C30" s="18" t="inlineStr">
        <is>
          <t>B</t>
        </is>
      </c>
      <c r="D30" s="25" t="inlineStr">
        <is>
          <t>Gallstone ileus occurs when a large gallstone erodes into the duodenum via cholecystoduodenal fistula and impacts at the narrow ileocecal valve.</t>
        </is>
      </c>
      <c r="E30" s="25" t="inlineStr">
        <is>
          <t>Surgery HBPS Lecture Notes</t>
        </is>
      </c>
    </row>
    <row r="31" ht="36" customHeight="1">
      <c r="A31" s="20" t="n">
        <v>23</v>
      </c>
      <c r="B31" s="21" t="inlineStr">
        <is>
          <t>Rigler's Triad</t>
        </is>
      </c>
      <c r="C31" s="18" t="inlineStr">
        <is>
          <t>B</t>
        </is>
      </c>
      <c r="D31" s="21" t="inlineStr">
        <is>
          <t>Rigler's triad on abdominal X-ray consists of pneumobilia (gas in biliary tree), mechanical small bowel obstruction, and an ectopic gallstone.</t>
        </is>
      </c>
      <c r="E31" s="21" t="inlineStr">
        <is>
          <t>Surgery HBPS Lecture Notes</t>
        </is>
      </c>
    </row>
    <row r="32" ht="36" customHeight="1">
      <c r="A32" s="24" t="n">
        <v>24</v>
      </c>
      <c r="B32" s="25" t="inlineStr">
        <is>
          <t>Amoebic Liver Abscess</t>
        </is>
      </c>
      <c r="C32" s="18" t="inlineStr">
        <is>
          <t>B</t>
        </is>
      </c>
      <c r="D32" s="25" t="inlineStr">
        <is>
          <t>Entamoeba histolytica causes liver abscesses containing 'anchovy-sauce' pus; primary treatment is medical therapy with IV/oral Metronidazole.</t>
        </is>
      </c>
      <c r="E32" s="25" t="inlineStr">
        <is>
          <t>Surgery HBPS Lecture Notes</t>
        </is>
      </c>
    </row>
    <row r="33" ht="36" customHeight="1">
      <c r="A33" s="20" t="n">
        <v>25</v>
      </c>
      <c r="B33" s="21" t="inlineStr">
        <is>
          <t>Amoebiasis Etiology</t>
        </is>
      </c>
      <c r="C33" s="18" t="inlineStr">
        <is>
          <t>A</t>
        </is>
      </c>
      <c r="D33" s="21" t="inlineStr">
        <is>
          <t>Entamoeba histolytica is the protozoan parasite responsible for amoebic colitis and amoebic liver abscesses.</t>
        </is>
      </c>
      <c r="E33" s="21" t="inlineStr">
        <is>
          <t>Surgery HBPS Lecture Notes</t>
        </is>
      </c>
    </row>
    <row r="34" ht="36" customHeight="1">
      <c r="A34" s="24" t="n">
        <v>26</v>
      </c>
      <c r="B34" s="25" t="inlineStr">
        <is>
          <t>Pyogenic Abscess Drainage</t>
        </is>
      </c>
      <c r="C34" s="18" t="inlineStr">
        <is>
          <t>B</t>
        </is>
      </c>
      <c r="D34" s="25" t="inlineStr">
        <is>
          <t>Large pyogenic liver abscesses require percutaneous catheter drainage combined with parenteral broad-spectrum antibiotics.</t>
        </is>
      </c>
      <c r="E34" s="25" t="inlineStr">
        <is>
          <t>Surgery HBPS Lecture Notes</t>
        </is>
      </c>
    </row>
    <row r="35" ht="36" customHeight="1">
      <c r="A35" s="20" t="n">
        <v>27</v>
      </c>
      <c r="B35" s="21" t="inlineStr">
        <is>
          <t>Hydatid Disease</t>
        </is>
      </c>
      <c r="C35" s="18" t="inlineStr">
        <is>
          <t>A</t>
        </is>
      </c>
      <c r="D35" s="21" t="inlineStr">
        <is>
          <t>Echinococcus granulosus causes hydatid cyst disease of the liver, characterized by daughter cysts and calcified walls.</t>
        </is>
      </c>
      <c r="E35" s="21" t="inlineStr">
        <is>
          <t>Surgery HBPS Lecture Notes</t>
        </is>
      </c>
    </row>
    <row r="36" ht="36" customHeight="1">
      <c r="A36" s="24" t="n">
        <v>28</v>
      </c>
      <c r="B36" s="25" t="inlineStr">
        <is>
          <t>Albendazole Therapy</t>
        </is>
      </c>
      <c r="C36" s="18" t="inlineStr">
        <is>
          <t>B</t>
        </is>
      </c>
      <c r="D36" s="25" t="inlineStr">
        <is>
          <t>Albendazole is administered prior to surgical or PAIR intervention for hydatid cysts to sterilize the cyst and prevent secondary dissemination.</t>
        </is>
      </c>
      <c r="E36" s="25" t="inlineStr">
        <is>
          <t>Surgery HBPS Lecture Notes</t>
        </is>
      </c>
    </row>
    <row r="37" ht="36" customHeight="1">
      <c r="A37" s="20" t="n">
        <v>29</v>
      </c>
      <c r="B37" s="21" t="inlineStr">
        <is>
          <t>Primary Sclerosing Cholangitis</t>
        </is>
      </c>
      <c r="C37" s="18" t="inlineStr">
        <is>
          <t>A</t>
        </is>
      </c>
      <c r="D37" s="21" t="inlineStr">
        <is>
          <t>PSC is strongly associated with Ulcerative Colitis and manifests as multifocal bile duct strictures with 'beaded' appearance on MRCP.</t>
        </is>
      </c>
      <c r="E37" s="21" t="inlineStr">
        <is>
          <t>Surgery HBPS Lecture Notes</t>
        </is>
      </c>
    </row>
    <row r="38" ht="36" customHeight="1">
      <c r="A38" s="24" t="n">
        <v>30</v>
      </c>
      <c r="B38" s="25" t="inlineStr">
        <is>
          <t>Periampullary Carcinoma</t>
        </is>
      </c>
      <c r="C38" s="18" t="inlineStr">
        <is>
          <t>A</t>
        </is>
      </c>
      <c r="D38" s="25" t="inlineStr">
        <is>
          <t>Periampullary carcinomas can undergo central necrosis and sloughing, leading to characteristic fluctuating jaundice and melena/anemia.</t>
        </is>
      </c>
      <c r="E38" s="25" t="inlineStr">
        <is>
          <t>Surgery HBPS Lecture Notes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2026-10-05T02:40:36Z</dcterms:created>
  <dcterms:modified xmlns:dcterms="http://purl.org/dc/terms/" xmlns:xsi="http://www.w3.org/2001/XMLSchema-instance" xsi:type="dcterms:W3CDTF">2026-10-05T02:40:36Z</dcterms:modified>
</cp:coreProperties>
</file>