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active_Quiz" sheetId="1" state="visible" r:id="rId1"/>
    <sheet xmlns:r="http://schemas.openxmlformats.org/officeDocument/2006/relationships" name="Scorecard" sheetId="2" state="visible" r:id="rId2"/>
    <sheet xmlns:r="http://schemas.openxmlformats.org/officeDocument/2006/relationships" name="Answer_Key_&amp;_Rationale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Calibri"/>
      <b val="1"/>
      <color rgb="00FFFFFF"/>
      <sz val="11"/>
    </font>
    <font>
      <name val="Calibri"/>
      <b val="1"/>
      <sz val="11"/>
    </font>
    <font>
      <name val="Calibri"/>
      <b val="1"/>
      <color rgb="001F497D"/>
      <sz val="14"/>
    </font>
  </fonts>
  <fills count="3">
    <fill>
      <patternFill/>
    </fill>
    <fill>
      <patternFill patternType="gray125"/>
    </fill>
    <fill>
      <patternFill patternType="solid">
        <fgColor rgb="001F497D"/>
        <bgColor rgb="001F497D"/>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0" fillId="0" borderId="0" applyAlignment="1" pivotButton="0" quotePrefix="0" xfId="0">
      <alignment horizontal="left" vertical="top" wrapText="1"/>
    </xf>
    <xf numFmtId="0" fontId="3" fillId="0" borderId="0" applyAlignment="1" pivotButton="0" quotePrefix="0" xfId="0">
      <alignment horizontal="left" vertical="center"/>
    </xf>
    <xf numFmtId="0" fontId="2" fillId="0" borderId="0" pivotButton="0" quotePrefix="0" xfId="0"/>
    <xf numFmtId="0" fontId="2" fillId="0" borderId="0" applyAlignment="1" pivotButton="0" quotePrefix="0" xfId="0">
      <alignment horizontal="center" vertical="center"/>
    </xf>
    <xf numFmtId="164" fontId="2"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showGridLines="1" workbookViewId="0">
      <selection activeCell="A1" sqref="A1"/>
    </sheetView>
  </sheetViews>
  <sheetFormatPr baseColWidth="8" defaultRowHeight="15"/>
  <cols>
    <col width="6" customWidth="1" min="1" max="1"/>
    <col width="45" customWidth="1" min="2" max="2"/>
    <col width="22" customWidth="1" min="3" max="3"/>
    <col width="22" customWidth="1" min="4" max="4"/>
    <col width="22" customWidth="1" min="5" max="5"/>
    <col width="22" customWidth="1" min="6" max="6"/>
    <col width="22" customWidth="1" min="7" max="7"/>
    <col width="14" customWidth="1" min="8" max="8"/>
    <col width="14" customWidth="1" min="9" max="9"/>
    <col width="45" customWidth="1" min="10" max="10"/>
  </cols>
  <sheetData>
    <row r="1">
      <c r="A1" s="1" t="inlineStr">
        <is>
          <t>Q#</t>
        </is>
      </c>
      <c r="B1" s="1" t="inlineStr">
        <is>
          <t>Clinical Scenario &amp; Question</t>
        </is>
      </c>
      <c r="C1" s="1" t="inlineStr">
        <is>
          <t>Option A</t>
        </is>
      </c>
      <c r="D1" s="1" t="inlineStr">
        <is>
          <t>Option B</t>
        </is>
      </c>
      <c r="E1" s="1" t="inlineStr">
        <is>
          <t>Option C</t>
        </is>
      </c>
      <c r="F1" s="1" t="inlineStr">
        <is>
          <t>Option D</t>
        </is>
      </c>
      <c r="G1" s="1" t="inlineStr">
        <is>
          <t>Option E</t>
        </is>
      </c>
      <c r="H1" s="1" t="inlineStr">
        <is>
          <t>Select Answer</t>
        </is>
      </c>
      <c r="I1" s="1" t="inlineStr">
        <is>
          <t>Result</t>
        </is>
      </c>
      <c r="J1" s="1" t="inlineStr">
        <is>
          <t>Explanation &amp; Rationale</t>
        </is>
      </c>
    </row>
    <row r="2">
      <c r="A2" s="2" t="n">
        <v>1</v>
      </c>
      <c r="B2" s="3" t="inlineStr">
        <is>
          <t>A 35-year-old man presents with severe, agonizing left loin-to-groin colicky pain accompanied by nausea and microscopic hematuria. What is the gold standard diagnostic investigation of choice?</t>
        </is>
      </c>
      <c r="C2" s="3" t="inlineStr">
        <is>
          <t>Ultrasonography of Kidneys, Ureters, and Bladder</t>
        </is>
      </c>
      <c r="D2" s="3" t="inlineStr">
        <is>
          <t>Plain Abdominal KUB Radiograph</t>
        </is>
      </c>
      <c r="E2" s="3" t="inlineStr">
        <is>
          <t>Non-contrast Computed Tomography KUB (NCCT KUB)</t>
        </is>
      </c>
      <c r="F2" s="3" t="inlineStr">
        <is>
          <t>Intravenous Urogram (IVU)</t>
        </is>
      </c>
      <c r="G2" s="3" t="inlineStr">
        <is>
          <t>Contrast-Enhanced CT Abdomen</t>
        </is>
      </c>
      <c r="H2" s="2" t="inlineStr"/>
      <c r="I2" s="2">
        <f>IF(H2="","",IF(H2=Answer_Key_&amp;_Rationales!G2,"CORRECT","INCORRECT"))</f>
        <v/>
      </c>
      <c r="J2" s="3" t="inlineStr">
        <is>
          <t>Non-contrast CT KUB (NCCT KUB) is the gold standard diagnostic investigation for suspected urolithiasis, boasting &gt;98% sensitivity and specificity for detecting stone size, location, and attenuation.</t>
        </is>
      </c>
    </row>
    <row r="3">
      <c r="A3" s="2" t="n">
        <v>2</v>
      </c>
      <c r="B3" s="3" t="inlineStr">
        <is>
          <t>A 68-year-old male with long-standing BPH presents with acute inability to void for 8 hours and severe suprapubic pain. Examination reveals a palpable bladder up to the umbilicus. What is the immediate initial step in management?</t>
        </is>
      </c>
      <c r="C3" s="3" t="inlineStr">
        <is>
          <t>Immediate administration of IV Furosemide</t>
        </is>
      </c>
      <c r="D3" s="3" t="inlineStr">
        <is>
          <t>Urgent Transurethral Resection of Prostate (TURP)</t>
        </is>
      </c>
      <c r="E3" s="3" t="inlineStr">
        <is>
          <t>Immediate Urethral Catheterization with a 16F Foley catheter</t>
        </is>
      </c>
      <c r="F3" s="3" t="inlineStr">
        <is>
          <t>Initiation of oral Tamsulosin 400 mcg daily</t>
        </is>
      </c>
      <c r="G3" s="3" t="inlineStr">
        <is>
          <t>Emergency Suprapubic Cystostomy</t>
        </is>
      </c>
      <c r="H3" s="2" t="inlineStr"/>
      <c r="I3" s="2">
        <f>IF(H3="","",IF(H3=Answer_Key_&amp;_Rationales!G3,"CORRECT","INCORRECT"))</f>
        <v/>
      </c>
      <c r="J3" s="3" t="inlineStr">
        <is>
          <t>Immediate urinary decompression via urethral catheterization using a 16F Foley catheter is the standard initial management for acute urinary retention (AROU).</t>
        </is>
      </c>
    </row>
    <row r="4">
      <c r="A4" s="2" t="n">
        <v>3</v>
      </c>
      <c r="B4" s="3" t="inlineStr">
        <is>
          <t>A 55-year-old chronic heavy smoker presents with a 3-week history of painless, profuse, intermittent gross hematuria throughout micturition. Physical examination is unremarkable. What is the most crucial diagnostic test?</t>
        </is>
      </c>
      <c r="C4" s="3" t="inlineStr">
        <is>
          <t>Urine culture and sensitivity</t>
        </is>
      </c>
      <c r="D4" s="3" t="inlineStr">
        <is>
          <t>Flexible/Rigid Cystoscopy with biopsy</t>
        </is>
      </c>
      <c r="E4" s="3" t="inlineStr">
        <is>
          <t>Serum Prostate-Specific Antigen (PSA)</t>
        </is>
      </c>
      <c r="F4" s="3" t="inlineStr">
        <is>
          <t>Renal Angiography</t>
        </is>
      </c>
      <c r="G4" s="3" t="inlineStr">
        <is>
          <t>Transrectal Ultrasound (TRUS)</t>
        </is>
      </c>
      <c r="H4" s="2" t="inlineStr"/>
      <c r="I4" s="2">
        <f>IF(H4="","",IF(H4=Answer_Key_&amp;_Rationales!G4,"CORRECT","INCORRECT"))</f>
        <v/>
      </c>
      <c r="J4" s="3" t="inlineStr">
        <is>
          <t>Painless gross hematuria in any patient &gt;45 years old MUST be investigated with Cystoscopy to rule out Transitional Cell Carcinoma (TCC) of the urinary bladder.</t>
        </is>
      </c>
    </row>
    <row r="5">
      <c r="A5" s="2" t="n">
        <v>4</v>
      </c>
      <c r="B5" s="3" t="inlineStr">
        <is>
          <t>A 16-year-old boy presents with sudden-onset severe right scrotal pain that woke him from sleep 2 hours ago. On examination, the right testis is swollen, tender, high-riding, and horizontally lie. Cremasteric reflex is absent. What is the most appropriate next step?</t>
        </is>
      </c>
      <c r="C5" s="3" t="inlineStr">
        <is>
          <t>Order an urgent Color Doppler Scrotal Ultrasound</t>
        </is>
      </c>
      <c r="D5" s="3" t="inlineStr">
        <is>
          <t>Administer IV Ceftriaxone and oral Doxycycline</t>
        </is>
      </c>
      <c r="E5" s="3" t="inlineStr">
        <is>
          <t>Immediate emergency scrotal exploration and bilateral orchidopexy</t>
        </is>
      </c>
      <c r="F5" s="3" t="inlineStr">
        <is>
          <t>Apply ice packs and prescribe scrotal elevation support</t>
        </is>
      </c>
      <c r="G5" s="3" t="inlineStr">
        <is>
          <t>Manual detorsion and discharge on oral analgesics</t>
        </is>
      </c>
      <c r="H5" s="2" t="inlineStr"/>
      <c r="I5" s="2">
        <f>IF(H5="","",IF(H5=Answer_Key_&amp;_Rationales!G5,"CORRECT","INCORRECT"))</f>
        <v/>
      </c>
      <c r="J5" s="3" t="inlineStr">
        <is>
          <t>Testicular torsion is a surgical emergency with a 6-hour golden window. Clinical diagnosis dictates immediate scrotal exploration and bilateral orchidopexy without delaying for ultrasound.</t>
        </is>
      </c>
    </row>
    <row r="6">
      <c r="A6" s="2" t="n">
        <v>5</v>
      </c>
      <c r="B6" s="3" t="inlineStr">
        <is>
          <t>A 28-year-old man presents with gradual onset right scrotal pain and swelling over 3 days, accompanied by fever and dysuria. On examination, elevating the right scrotum reduces the pain (Positive Prehn's sign). What is the most likely diagnosis?</t>
        </is>
      </c>
      <c r="C6" s="3" t="inlineStr">
        <is>
          <t>Testicular Torsion</t>
        </is>
      </c>
      <c r="D6" s="3" t="inlineStr">
        <is>
          <t>Acute Epididymo-orchitis</t>
        </is>
      </c>
      <c r="E6" s="3" t="inlineStr">
        <is>
          <t>Strangulated Indirect Inguinal Hernia</t>
        </is>
      </c>
      <c r="F6" s="3" t="inlineStr">
        <is>
          <t>Varicocele</t>
        </is>
      </c>
      <c r="G6" s="3" t="inlineStr">
        <is>
          <t>Testicular Seminoma</t>
        </is>
      </c>
      <c r="H6" s="2" t="inlineStr"/>
      <c r="I6" s="2">
        <f>IF(H6="","",IF(H6=Answer_Key_&amp;_Rationales!G6,"CORRECT","INCORRECT"))</f>
        <v/>
      </c>
      <c r="J6" s="3" t="inlineStr">
        <is>
          <t>Gradual onset pain, fever, dysuria, and a POSITIVE Prehn's sign (pain relief on scrotal elevation) are classic features of Acute Epididymo-orchitis.</t>
        </is>
      </c>
    </row>
    <row r="7">
      <c r="A7" s="2" t="n">
        <v>6</v>
      </c>
      <c r="B7" s="3" t="inlineStr">
        <is>
          <t>A 25-year-old man presents with a painless, firm, heavy mass in his left testis noticed 2 months ago. Scrotal USG confirms a 2.5 cm intra-testicular mass. Serum tumor markers reveal normal AFP, elevated b-hCG (45 IU/L), and elevated LDH. What is the most likely diagnosis?</t>
        </is>
      </c>
      <c r="C7" s="3" t="inlineStr">
        <is>
          <t>Yolk Sac Tumor</t>
        </is>
      </c>
      <c r="D7" s="3" t="inlineStr">
        <is>
          <t>Classic Seminoma</t>
        </is>
      </c>
      <c r="E7" s="3" t="inlineStr">
        <is>
          <t>Choriocarcinoma</t>
        </is>
      </c>
      <c r="F7" s="3" t="inlineStr">
        <is>
          <t>Teratoma</t>
        </is>
      </c>
      <c r="G7" s="3" t="inlineStr">
        <is>
          <t>Leydig Cell Tumor</t>
        </is>
      </c>
      <c r="H7" s="2" t="inlineStr"/>
      <c r="I7" s="2">
        <f>IF(H7="","",IF(H7=Answer_Key_&amp;_Rationales!G7,"CORRECT","INCORRECT"))</f>
        <v/>
      </c>
      <c r="J7" s="3" t="inlineStr">
        <is>
          <t>Pure Seminoma classically presents with normal AFP and mild elevation of b-hCG in ~15-20% of cases. Yolk sac tumors characteristically produce high AFP.</t>
        </is>
      </c>
    </row>
    <row r="8">
      <c r="A8" s="2" t="n">
        <v>7</v>
      </c>
      <c r="B8" s="3" t="inlineStr">
        <is>
          <t>Why is trans-scrotal needle biopsy contraindicated in a patient suspected of having a testicular tumor?</t>
        </is>
      </c>
      <c r="C8" s="3" t="inlineStr">
        <is>
          <t>High risk of intractable scrotal hematoma</t>
        </is>
      </c>
      <c r="D8" s="3" t="inlineStr">
        <is>
          <t>High risk of tumor seeding to inguinal lymph nodes and changing lymphatic drainage</t>
        </is>
      </c>
      <c r="E8" s="3" t="inlineStr">
        <is>
          <t>Inability to obtain adequate tissue for histological grading</t>
        </is>
      </c>
      <c r="F8" s="3" t="inlineStr">
        <is>
          <t>High incidence of post-biopsy acute epididymitis</t>
        </is>
      </c>
      <c r="G8" s="3" t="inlineStr">
        <is>
          <t>High risk of precipitating testicular torsion</t>
        </is>
      </c>
      <c r="H8" s="2" t="inlineStr"/>
      <c r="I8" s="2">
        <f>IF(H8="","",IF(H8=Answer_Key_&amp;_Rationales!G8,"CORRECT","INCORRECT"))</f>
        <v/>
      </c>
      <c r="J8" s="3" t="inlineStr">
        <is>
          <t>Trans-scrotal biopsy breaks the anatomical barrier of tunica dartos, causing tumor spillage and seeding into scrotal skin and superficial inguinal lymph nodes.</t>
        </is>
      </c>
    </row>
    <row r="9">
      <c r="A9" s="2" t="n">
        <v>8</v>
      </c>
      <c r="B9" s="3" t="inlineStr">
        <is>
          <t>A 62-year-old male presents with a dull, dragging pain in his left scrotum. Examination in the standing position reveals a soft 'bag of worms' sensation above the left testis that disappears when supine. What is the anatomical explanation for this predominance on the left?</t>
        </is>
      </c>
      <c r="C9" s="3" t="inlineStr">
        <is>
          <t>Left testicular artery arises directly from the anterior abdominal aorta</t>
        </is>
      </c>
      <c r="D9" s="3" t="inlineStr">
        <is>
          <t>Left testicular vein drains into the left renal vein at a right angle (90 degrees)</t>
        </is>
      </c>
      <c r="E9" s="3" t="inlineStr">
        <is>
          <t>Left cremasteric artery is compressed by the inguinal ligament</t>
        </is>
      </c>
      <c r="F9" s="3" t="inlineStr">
        <is>
          <t>Left pampiniform plexus lacks venous valves entirely</t>
        </is>
      </c>
      <c r="G9" s="3" t="inlineStr">
        <is>
          <t>Left testicular vein drains directly into the Inferior Vena Cava</t>
        </is>
      </c>
      <c r="H9" s="2" t="inlineStr"/>
      <c r="I9" s="2">
        <f>IF(H9="","",IF(H9=Answer_Key_&amp;_Rationales!G9,"CORRECT","INCORRECT"))</f>
        <v/>
      </c>
      <c r="J9" s="3" t="inlineStr">
        <is>
          <t>Left-sided varicoceles are common because the left testicular vein enters the left renal vein at a 90-degree right angle, leading to higher hydrostatic pressure.</t>
        </is>
      </c>
    </row>
    <row r="10">
      <c r="A10" s="2" t="n">
        <v>9</v>
      </c>
      <c r="B10" s="3" t="inlineStr">
        <is>
          <t>A 65-year-old man presents with a sudden-onset, non-reducing right-sided varicocele. What mandatory investigation must be performed immediately?</t>
        </is>
      </c>
      <c r="C10" s="3" t="inlineStr">
        <is>
          <t>High ligation of testicular vein (Palomo procedure)</t>
        </is>
      </c>
      <c r="D10" s="3" t="inlineStr">
        <is>
          <t>Contrast-Enhanced CT Abdomen and Pelvis</t>
        </is>
      </c>
      <c r="E10" s="3" t="inlineStr">
        <is>
          <t>Scrotal Transillumination Test</t>
        </is>
      </c>
      <c r="F10" s="3" t="inlineStr">
        <is>
          <t>Diagnostic Laparoscopy</t>
        </is>
      </c>
      <c r="G10" s="3" t="inlineStr">
        <is>
          <t>Urethro-cystoscopy</t>
        </is>
      </c>
      <c r="H10" s="2" t="inlineStr"/>
      <c r="I10" s="2">
        <f>IF(H10="","",IF(H10=Answer_Key_&amp;_Rationales!G10,"CORRECT","INCORRECT"))</f>
        <v/>
      </c>
      <c r="J10" s="3" t="inlineStr">
        <is>
          <t>Right-sided varicocele or a sudden-onset non-reducing left varicocele in an older man strongly suggests retroperitoneal tumor obstruction (e.g., RCC invading IVC/renal vein).</t>
        </is>
      </c>
    </row>
    <row r="11">
      <c r="A11" s="2" t="n">
        <v>10</v>
      </c>
      <c r="B11" s="3" t="inlineStr">
        <is>
          <t>A 30-year-old man is brought to the ED following a bicycle accident where he fell astride the crossbar. He has acute urinary retention, blood at the external urethral meatus, and a 'butterfly' perineal hematoma. Pelvic compression test is painless and stable. What is the most likely diagnosis?</t>
        </is>
      </c>
      <c r="C11" s="3" t="inlineStr">
        <is>
          <t>Posterior (Membranous) Urethral Rupture</t>
        </is>
      </c>
      <c r="D11" s="3" t="inlineStr">
        <is>
          <t>Anterior (Bulbar) Urethral Rupture</t>
        </is>
      </c>
      <c r="E11" s="3" t="inlineStr">
        <is>
          <t>Intraperitoneal Bladder Rupture</t>
        </is>
      </c>
      <c r="F11" s="3" t="inlineStr">
        <is>
          <t>Ureteric Avulsion</t>
        </is>
      </c>
      <c r="G11" s="3" t="inlineStr">
        <is>
          <t>Prostatic Urethral Tear</t>
        </is>
      </c>
      <c r="H11" s="2" t="inlineStr"/>
      <c r="I11" s="2">
        <f>IF(H11="","",IF(H11=Answer_Key_&amp;_Rationales!G11,"CORRECT","INCORRECT"))</f>
        <v/>
      </c>
      <c r="J11" s="3" t="inlineStr">
        <is>
          <t>A straddle (fall astride) injury crushes the bulbar urethra against the pubic symphysis, producing anterior urethral rupture with blood at the meatus and perineal butterfly hematoma.</t>
        </is>
      </c>
    </row>
    <row r="12">
      <c r="A12" s="2" t="n">
        <v>11</v>
      </c>
      <c r="B12" s="3" t="inlineStr">
        <is>
          <t>In a patient presenting with blood at the external urethral meatus following pelvic trauma, what is the SINGLE MOST IMPORTANT initial investigation before attempting catheterization?</t>
        </is>
      </c>
      <c r="C12" s="3" t="inlineStr">
        <is>
          <t>Intravenous Pyelogram (IVP)</t>
        </is>
      </c>
      <c r="D12" s="3" t="inlineStr">
        <is>
          <t>Ascending Retrograde Urethrogram (RUG)</t>
        </is>
      </c>
      <c r="E12" s="3" t="inlineStr">
        <is>
          <t>Non-contrast CT KUB</t>
        </is>
      </c>
      <c r="F12" s="3" t="inlineStr">
        <is>
          <t>Bedside Ultrasound Bladder Scan</t>
        </is>
      </c>
      <c r="G12" s="3" t="inlineStr">
        <is>
          <t>Flexible Cystoscopy</t>
        </is>
      </c>
      <c r="H12" s="2" t="inlineStr"/>
      <c r="I12" s="2">
        <f>IF(H12="","",IF(H12=Answer_Key_&amp;_Rationales!G12,"CORRECT","INCORRECT"))</f>
        <v/>
      </c>
      <c r="J12" s="3" t="inlineStr">
        <is>
          <t>Ascending Retrograde Urethrogram (RUG) must be performed to evaluate urethral continuity BEFORE any attempt at urethral catheterization to avoid converting a partial tear into a complete rupture.</t>
        </is>
      </c>
    </row>
    <row r="13">
      <c r="A13" s="2" t="n">
        <v>12</v>
      </c>
      <c r="B13" s="3" t="inlineStr">
        <is>
          <t>A 60-year-old male presents with a painless, smooth, cystic swelling in the right scrotum that completely transilluminates. You can easily get above the mass on examination. What is the definitive surgical management?</t>
        </is>
      </c>
      <c r="C13" s="3" t="inlineStr">
        <is>
          <t>High Orchidectomy via Inguinal approach</t>
        </is>
      </c>
      <c r="D13" s="3" t="inlineStr">
        <is>
          <t>Jaboulay operation or Lord's plication procedure</t>
        </is>
      </c>
      <c r="E13" s="3" t="inlineStr">
        <is>
          <t>Lichtenstein Mesh Repair</t>
        </is>
      </c>
      <c r="F13" s="3" t="inlineStr">
        <is>
          <t>Palomo Operation</t>
        </is>
      </c>
      <c r="G13" s="3" t="inlineStr">
        <is>
          <t>Needle aspiration and sclerotherapy</t>
        </is>
      </c>
      <c r="H13" s="2" t="inlineStr"/>
      <c r="I13" s="2">
        <f>IF(H13="","",IF(H13=Answer_Key_&amp;_Rationales!G13,"CORRECT","INCORRECT"))</f>
        <v/>
      </c>
      <c r="J13" s="3" t="inlineStr">
        <is>
          <t>Vaginal hydrocele is treated surgically by Jaboulay's eversion of the tunica vaginalis sac or Lord's plication of the sac.</t>
        </is>
      </c>
    </row>
    <row r="14">
      <c r="A14" s="2" t="n">
        <v>13</v>
      </c>
      <c r="B14" s="3" t="inlineStr">
        <is>
          <t>A 72-year-old man undergoes TURP for severe BPH. Two hours post-operatively, he becomes confused, nauseated, bradycardic, and develops muscle twitching. Serum sodium is 118 mmol/L. What is the underlying cause?</t>
        </is>
      </c>
      <c r="C14" s="3" t="inlineStr">
        <is>
          <t>Septic shock from Gram-negative bacteremia</t>
        </is>
      </c>
      <c r="D14" s="3" t="inlineStr">
        <is>
          <t>TURP Syndrome due to systemic absorption of hypotonic glycine irrigation fluid</t>
        </is>
      </c>
      <c r="E14" s="3" t="inlineStr">
        <is>
          <t>Acute myocardial infarction</t>
        </is>
      </c>
      <c r="F14" s="3" t="inlineStr">
        <is>
          <t>Malignant hyperthermia</t>
        </is>
      </c>
      <c r="G14" s="3" t="inlineStr">
        <is>
          <t>Anaphylactic reaction to latex catheter</t>
        </is>
      </c>
      <c r="H14" s="2" t="inlineStr"/>
      <c r="I14" s="2">
        <f>IF(H14="","",IF(H14=Answer_Key_&amp;_Rationales!G14,"CORRECT","INCORRECT"))</f>
        <v/>
      </c>
      <c r="J14" s="3" t="inlineStr">
        <is>
          <t>TURP syndrome results from intravascular absorption of non-conductive hypotonic irrigating fluid (glycine), causing dilutional hyponatremia and fluid overload.</t>
        </is>
      </c>
    </row>
    <row r="15">
      <c r="A15" s="2" t="n">
        <v>14</v>
      </c>
      <c r="B15" s="3" t="inlineStr">
        <is>
          <t>A 64-year-old male with lower back pain has a hard, nodular, asymmetrical prostate on Digital Rectal Examination. Serum PSA is 48 ng/mL. Plain X-rays of the pelvis show dense osteoblastic lesions in the lumbar spine. Which pathway did the cancer spread through to the spine?</t>
        </is>
      </c>
      <c r="C15" s="3" t="inlineStr">
        <is>
          <t>Thoracic duct lymphatic drainage</t>
        </is>
      </c>
      <c r="D15" s="3" t="inlineStr">
        <is>
          <t>Batson's valveless venous plexus</t>
        </is>
      </c>
      <c r="E15" s="3" t="inlineStr">
        <is>
          <t>Direct extension along the sciatic nerve</t>
        </is>
      </c>
      <c r="F15" s="3" t="inlineStr">
        <is>
          <t>Internal iliac arterial embolization</t>
        </is>
      </c>
      <c r="G15" s="3" t="inlineStr">
        <is>
          <t>Obturator lymphatic chain</t>
        </is>
      </c>
      <c r="H15" s="2" t="inlineStr"/>
      <c r="I15" s="2">
        <f>IF(H15="","",IF(H15=Answer_Key_&amp;_Rationales!G15,"CORRECT","INCORRECT"))</f>
        <v/>
      </c>
      <c r="J15" s="3" t="inlineStr">
        <is>
          <t>Prostate cancer metastasizes to the axial skeleton (lumbar spine, pelvis) via Batson's valveless venous plexus, which connects prostatic veins directly to vertebral veins.</t>
        </is>
      </c>
    </row>
    <row r="16">
      <c r="A16" s="2" t="n">
        <v>15</v>
      </c>
      <c r="B16" s="3" t="inlineStr">
        <is>
          <t>Which pharmacological agent is indicated for FAST symptom relief in BPH by relaxing prostatic smooth muscle at the bladder neck?</t>
        </is>
      </c>
      <c r="C16" s="3" t="inlineStr">
        <is>
          <t>Finasteride (5-alpha reductase inhibitor)</t>
        </is>
      </c>
      <c r="D16" s="3" t="inlineStr">
        <is>
          <t>Tamsulosin (Alpha-1a adrenergic receptor antagonist)</t>
        </is>
      </c>
      <c r="E16" s="3" t="inlineStr">
        <is>
          <t>Cyproterone acetate</t>
        </is>
      </c>
      <c r="F16" s="3" t="inlineStr">
        <is>
          <t>Bicalutamide</t>
        </is>
      </c>
      <c r="G16" s="3" t="inlineStr">
        <is>
          <t>Oxybutynin</t>
        </is>
      </c>
      <c r="H16" s="2" t="inlineStr"/>
      <c r="I16" s="2">
        <f>IF(H16="","",IF(H16=Answer_Key_&amp;_Rationales!G16,"CORRECT","INCORRECT"))</f>
        <v/>
      </c>
      <c r="J16" s="3" t="inlineStr">
        <is>
          <t>Alpha-1 antagonists (Tamsulosin) act within 48-72 hours by relaxing smooth muscle at the bladder neck and prostate capsule. Finasteride takes 3-6 months to shrink prostate size.</t>
        </is>
      </c>
    </row>
    <row r="17">
      <c r="A17" s="2" t="n">
        <v>16</v>
      </c>
      <c r="B17" s="3" t="inlineStr">
        <is>
          <t>A 50-year-old man presents with severe left flank pain, fever (38.9 C), rigors, and vomiting. NCCT KUB shows a 7 mm left mid-ureteric stone causing proximal hydronephrosis. What is the immediate treatment priority?</t>
        </is>
      </c>
      <c r="C17" s="3" t="inlineStr">
        <is>
          <t>Extracorporeal Shock Wave Lithotripsy (ESWL)</t>
        </is>
      </c>
      <c r="D17" s="3" t="inlineStr">
        <is>
          <t>Urgent decompression via retrograde JJ stenting or Percutaneous Nephrostomy (PCN) + IV antibiotics</t>
        </is>
      </c>
      <c r="E17" s="3" t="inlineStr">
        <is>
          <t>Emergency Open Ureterolithotomy</t>
        </is>
      </c>
      <c r="F17" s="3" t="inlineStr">
        <is>
          <t>Oral Tamsulosin and discharge with outpatient follow-up</t>
        </is>
      </c>
      <c r="G17" s="3" t="inlineStr">
        <is>
          <t>Urgent Ureteroscopy (URS) and stone fragmentation</t>
        </is>
      </c>
      <c r="H17" s="2" t="inlineStr"/>
      <c r="I17" s="2">
        <f>IF(H17="","",IF(H17=Answer_Key_&amp;_Rationales!G17,"CORRECT","INCORRECT"))</f>
        <v/>
      </c>
      <c r="J17" s="3" t="inlineStr">
        <is>
          <t>An infected obstructed kidney (stone + sepsis) is a life-threatening urological emergency requiring immediate emergency biliary/urinary decompression via JJ stent or PCN tube.</t>
        </is>
      </c>
    </row>
    <row r="18">
      <c r="A18" s="2" t="n">
        <v>17</v>
      </c>
      <c r="B18" s="3" t="inlineStr">
        <is>
          <t>Which type of renal calculus is classically associated with recurrent Proteus mirabilis urinary tract infections and forms large staghorn calculi in the renal pelvis?</t>
        </is>
      </c>
      <c r="C18" s="3" t="inlineStr">
        <is>
          <t>Calcium Oxalate Monohydrate</t>
        </is>
      </c>
      <c r="D18" s="3" t="inlineStr">
        <is>
          <t>Struvite (Magnesium Ammonium Phosphate)</t>
        </is>
      </c>
      <c r="E18" s="3" t="inlineStr">
        <is>
          <t>Uric Acid</t>
        </is>
      </c>
      <c r="F18" s="3" t="inlineStr">
        <is>
          <t>Cysteine</t>
        </is>
      </c>
      <c r="G18" s="3" t="inlineStr">
        <is>
          <t>Calcium Phosphate</t>
        </is>
      </c>
      <c r="H18" s="2" t="inlineStr"/>
      <c r="I18" s="2">
        <f>IF(H18="","",IF(H18=Answer_Key_&amp;_Rationales!G18,"CORRECT","INCORRECT"))</f>
        <v/>
      </c>
      <c r="J18" s="3" t="inlineStr">
        <is>
          <t>Struvite (triple phosphate) stones are infection-induced stones caused by urease-producing bacteria (Proteus, Klebsiella), forming radio-opaque staghorn calculi in alkaline urine.</t>
        </is>
      </c>
    </row>
    <row r="19">
      <c r="A19" s="2" t="n">
        <v>18</v>
      </c>
      <c r="B19" s="3" t="inlineStr">
        <is>
          <t>A 58-year-old male presents with a triad of right flank pain, gross hematuria, and a palpable abdominal mass. On examination, he also has a non-reducing left-sided varicocele. What is the most likely diagnosis?</t>
        </is>
      </c>
      <c r="C19" s="3" t="inlineStr">
        <is>
          <t>Polycystic Kidney Disease</t>
        </is>
      </c>
      <c r="D19" s="3" t="inlineStr">
        <is>
          <t>Renal Cell Carcinoma (RCC)</t>
        </is>
      </c>
      <c r="E19" s="3" t="inlineStr">
        <is>
          <t>Wilms Tumor</t>
        </is>
      </c>
      <c r="F19" s="3" t="inlineStr">
        <is>
          <t>Renal Amyloidosis</t>
        </is>
      </c>
      <c r="G19" s="3" t="inlineStr">
        <is>
          <t>Xanthogranulomatous Pyelonephritis</t>
        </is>
      </c>
      <c r="H19" s="2" t="inlineStr"/>
      <c r="I19" s="2">
        <f>IF(H19="","",IF(H19=Answer_Key_&amp;_Rationales!G19,"CORRECT","INCORRECT"))</f>
        <v/>
      </c>
      <c r="J19" s="3" t="inlineStr">
        <is>
          <t>The classic triad of RCC is flank pain, gross hematuria, and palpable mass (&lt;10% cases). Left renal vein tumor thrombus causes left non-reducing varicocele.</t>
        </is>
      </c>
    </row>
    <row r="20">
      <c r="A20" s="2" t="n">
        <v>19</v>
      </c>
      <c r="B20" s="3" t="inlineStr">
        <is>
          <t>What is the primary histological zone of the prostate gland from which Adenocarcinoma of the prostate predominantly originates?</t>
        </is>
      </c>
      <c r="C20" s="3" t="inlineStr">
        <is>
          <t>Transition Zone</t>
        </is>
      </c>
      <c r="D20" s="3" t="inlineStr">
        <is>
          <t>Peripheral Zone</t>
        </is>
      </c>
      <c r="E20" s="3" t="inlineStr">
        <is>
          <t>Central Zone</t>
        </is>
      </c>
      <c r="F20" s="3" t="inlineStr">
        <is>
          <t>Anterior Fibromuscular Stroma</t>
        </is>
      </c>
      <c r="G20" s="3" t="inlineStr">
        <is>
          <t>Periurethral Zone</t>
        </is>
      </c>
      <c r="H20" s="2" t="inlineStr"/>
      <c r="I20" s="2">
        <f>IF(H20="","",IF(H20=Answer_Key_&amp;_Rationales!G20,"CORRECT","INCORRECT"))</f>
        <v/>
      </c>
      <c r="J20" s="3" t="inlineStr">
        <is>
          <t>Prostate Adenocarcinoma originates in the PERIPHERAL zone (~70-80%), making it easily palpable on Digital Rectal Examination. BPH originates in the TRANSITION zone.</t>
        </is>
      </c>
    </row>
    <row r="21">
      <c r="A21" s="2" t="n">
        <v>20</v>
      </c>
      <c r="B21" s="3" t="inlineStr">
        <is>
          <t>A 22-year-old patient presents with a painful, swollen, ischemic glans penis. The prepuce has been retracted behind the coronal sulcus for 2 days following urethral catheterization and cannot be pulled back forward over the glans. What is the diagnosis?</t>
        </is>
      </c>
      <c r="C21" s="3" t="inlineStr">
        <is>
          <t>Phimosis</t>
        </is>
      </c>
      <c r="D21" s="3" t="inlineStr">
        <is>
          <t>Paraphimosis</t>
        </is>
      </c>
      <c r="E21" s="3" t="inlineStr">
        <is>
          <t>Peyronie's Disease</t>
        </is>
      </c>
      <c r="F21" s="3" t="inlineStr">
        <is>
          <t>Priapism</t>
        </is>
      </c>
      <c r="G21" s="3" t="inlineStr">
        <is>
          <t>Balanitis Xerotica Obliterans</t>
        </is>
      </c>
      <c r="H21" s="2" t="inlineStr"/>
      <c r="I21" s="2">
        <f>IF(H21="","",IF(H21=Answer_Key_&amp;_Rationales!G21,"CORRECT","INCORRECT"))</f>
        <v/>
      </c>
      <c r="J21" s="3" t="inlineStr">
        <is>
          <t>Paraphimosis occurs when retracted foreskin remains trapped behind the coronal sulcus, acting as a constricting band leading to venous engorgement, edema, and glans ischemia.</t>
        </is>
      </c>
    </row>
    <row r="22">
      <c r="A22" s="2" t="n">
        <v>21</v>
      </c>
      <c r="B22" s="3" t="inlineStr">
        <is>
          <t>A 4-year-old boy is noted by his mother to have ballooning of the foreskin during micturition. On examination, the prepuce cannot be retracted over the glans penis, but there is no acute tissue ischemia or distress. What is the diagnosis?</t>
        </is>
      </c>
      <c r="C22" s="3" t="inlineStr">
        <is>
          <t>Paraphimosis</t>
        </is>
      </c>
      <c r="D22" s="3" t="inlineStr">
        <is>
          <t>Phimosis</t>
        </is>
      </c>
      <c r="E22" s="3" t="inlineStr">
        <is>
          <t>Hypospadias</t>
        </is>
      </c>
      <c r="F22" s="3" t="inlineStr">
        <is>
          <t>Epispadias</t>
        </is>
      </c>
      <c r="G22" s="3" t="inlineStr">
        <is>
          <t>Chordee</t>
        </is>
      </c>
      <c r="H22" s="2" t="inlineStr"/>
      <c r="I22" s="2">
        <f>IF(H22="","",IF(H22=Answer_Key_&amp;_Rationales!G22,"CORRECT","INCORRECT"))</f>
        <v/>
      </c>
      <c r="J22" s="3" t="inlineStr">
        <is>
          <t>Phimosis is the inability to retract the foreskin over the glans penis. Preputial ballooning during urination is a classic clinical manifestation.</t>
        </is>
      </c>
    </row>
    <row r="23">
      <c r="A23" s="2" t="n">
        <v>22</v>
      </c>
      <c r="B23" s="3" t="inlineStr">
        <is>
          <t>A 45-year-old male with a history of severe gout presents with radiolucent renal stones on plain X-ray KUB. NCCT KUB confirms stone burden in the renal pelvis. What is the composition of these stones?</t>
        </is>
      </c>
      <c r="C23" s="3" t="inlineStr">
        <is>
          <t>Calcium Oxalate</t>
        </is>
      </c>
      <c r="D23" s="3" t="inlineStr">
        <is>
          <t>Uric Acid</t>
        </is>
      </c>
      <c r="E23" s="3" t="inlineStr">
        <is>
          <t>Struvite</t>
        </is>
      </c>
      <c r="F23" s="3" t="inlineStr">
        <is>
          <t>Cysteine</t>
        </is>
      </c>
      <c r="G23" s="3" t="inlineStr">
        <is>
          <t>Calcium Phosphate</t>
        </is>
      </c>
      <c r="H23" s="2" t="inlineStr"/>
      <c r="I23" s="2">
        <f>IF(H23="","",IF(H23=Answer_Key_&amp;_Rationales!G23,"CORRECT","INCORRECT"))</f>
        <v/>
      </c>
      <c r="J23" s="3" t="inlineStr">
        <is>
          <t>Uric acid stones are classically radiolucent on plain X-ray KUB (though visible on CT) and form in persistently acidic urine in patients with gout or hyperuricemia.</t>
        </is>
      </c>
    </row>
    <row r="24">
      <c r="A24" s="2" t="n">
        <v>23</v>
      </c>
      <c r="B24" s="3" t="inlineStr">
        <is>
          <t>What is the definitive surgical treatment for a fit 52-year-old patient diagnosed with T2b (muscle-invasive) Transitional Cell Carcinoma of the bladder?</t>
        </is>
      </c>
      <c r="C24" s="3" t="inlineStr">
        <is>
          <t>Repeated Transurethral Resection of Bladder Tumor (TURBT)</t>
        </is>
      </c>
      <c r="D24" s="3" t="inlineStr">
        <is>
          <t>Radical Cystectomy with urinary diversion (e.g., Ileal Conduit)</t>
        </is>
      </c>
      <c r="E24" s="3" t="inlineStr">
        <is>
          <t>Intravesical BCG immunotherapy alone</t>
        </is>
      </c>
      <c r="F24" s="3" t="inlineStr">
        <is>
          <t>Partial Cystectomy with 1 cm margins</t>
        </is>
      </c>
      <c r="G24" s="3" t="inlineStr">
        <is>
          <t>Systemic oral Cyclophosphamide</t>
        </is>
      </c>
      <c r="H24" s="2" t="inlineStr"/>
      <c r="I24" s="2">
        <f>IF(H24="","",IF(H24=Answer_Key_&amp;_Rationales!G24,"CORRECT","INCORRECT"))</f>
        <v/>
      </c>
      <c r="J24" s="3" t="inlineStr">
        <is>
          <t>Muscle-invasive bladder cancer (T2 or greater) requires Radical Cystectomy with pelvic lymph node dissection and urinary diversion (ileal conduit or orthotopic neobladder).</t>
        </is>
      </c>
    </row>
    <row r="25">
      <c r="A25" s="2" t="n">
        <v>24</v>
      </c>
      <c r="B25" s="3" t="inlineStr">
        <is>
          <t>In a patient presenting with an asymptomatic 12 cm clear cell Renal Cell Carcinoma without distant metastases (T2bN0M0), what is the definitive curative surgical option?</t>
        </is>
      </c>
      <c r="C25" s="3" t="inlineStr">
        <is>
          <t>Partial Nephrectomy</t>
        </is>
      </c>
      <c r="D25" s="3" t="inlineStr">
        <is>
          <t>Radical Nephrectomy (removal of kidney, Gerota's fascia, ipsilateral adrenal, and regional lymph nodes)</t>
        </is>
      </c>
      <c r="E25" s="3" t="inlineStr">
        <is>
          <t>Radiofrequency Ablation</t>
        </is>
      </c>
      <c r="F25" s="3" t="inlineStr">
        <is>
          <t>Renal artery embolization alone</t>
        </is>
      </c>
      <c r="G25" s="3" t="inlineStr">
        <is>
          <t>Systemic Immunotherapy with Interleukin-2</t>
        </is>
      </c>
      <c r="H25" s="2" t="inlineStr"/>
      <c r="I25" s="2">
        <f>IF(H25="","",IF(H25=Answer_Key_&amp;_Rationales!G25,"CORRECT","INCORRECT"))</f>
        <v/>
      </c>
      <c r="J25" s="3" t="inlineStr">
        <is>
          <t>Radical Nephrectomy (en bloc excision of kidney, surrounding fat, Gerota's fascia, and regional nodes) is the gold standard surgical cure for resectable large RCC (&gt;7 cm).</t>
        </is>
      </c>
    </row>
    <row r="26">
      <c r="A26" s="2" t="n">
        <v>25</v>
      </c>
      <c r="B26" s="3" t="inlineStr">
        <is>
          <t>A 19-year-old male presents with painless swelling of the right scrotum. Physical examination demonstrates a smooth, fluctuant, non-tender swelling. Transillumination is brilliant, and the clinician CAN get above the mass. What is the diagnosis?</t>
        </is>
      </c>
      <c r="C26" s="3" t="inlineStr">
        <is>
          <t>Indirect Inguinoscrotal Hernia</t>
        </is>
      </c>
      <c r="D26" s="3" t="inlineStr">
        <is>
          <t>Vaginal Hydrocele</t>
        </is>
      </c>
      <c r="E26" s="3" t="inlineStr">
        <is>
          <t>Varicocele</t>
        </is>
      </c>
      <c r="F26" s="3" t="inlineStr">
        <is>
          <t>Testicular Carcinoma</t>
        </is>
      </c>
      <c r="G26" s="3" t="inlineStr">
        <is>
          <t>Spermatocele</t>
        </is>
      </c>
      <c r="H26" s="2" t="inlineStr"/>
      <c r="I26" s="2">
        <f>IF(H26="","",IF(H26=Answer_Key_&amp;_Rationales!G26,"CORRECT","INCORRECT"))</f>
        <v/>
      </c>
      <c r="J26" s="3" t="inlineStr">
        <is>
          <t>The ability to 'get above the mass' rules out an inguinoscrotal hernia. Brilliant transillumination confirms a fluid collection (hydrocele).</t>
        </is>
      </c>
    </row>
    <row r="27">
      <c r="A27" s="2" t="n">
        <v>26</v>
      </c>
      <c r="B27" s="3" t="inlineStr">
        <is>
          <t>A 35-year-old infertile male is found to have a soft, non-tender left scrotal mass resembling a 'bag of worms' that decompress when lying flat. What is the primary surgical or radiological treatment for symptomatic varicocele?</t>
        </is>
      </c>
      <c r="C27" s="3" t="inlineStr">
        <is>
          <t>Subinguinal Varicocelectomy or Percutaneous Embolization</t>
        </is>
      </c>
      <c r="D27" s="3" t="inlineStr">
        <is>
          <t>Lord's Plication Procedure</t>
        </is>
      </c>
      <c r="E27" s="3" t="inlineStr">
        <is>
          <t>Jaboulay Eversion Operation</t>
        </is>
      </c>
      <c r="F27" s="3" t="inlineStr">
        <is>
          <t>Orchidopexy</t>
        </is>
      </c>
      <c r="G27" s="3" t="inlineStr">
        <is>
          <t>Radical Inguinal Orchidectomy</t>
        </is>
      </c>
      <c r="H27" s="2" t="inlineStr"/>
      <c r="I27" s="2">
        <f>IF(H27="","",IF(H27=Answer_Key_&amp;_Rationales!G27,"CORRECT","INCORRECT"))</f>
        <v/>
      </c>
      <c r="J27" s="3" t="inlineStr">
        <is>
          <t>Varicocele is managed surgically via ligation of the spermatic veins (Palomo, Ivanissevich, or subinguinal varicocelectomy) or percutaneous retrograde embolization.</t>
        </is>
      </c>
    </row>
    <row r="28">
      <c r="A28" s="2" t="n">
        <v>27</v>
      </c>
      <c r="B28" s="3" t="inlineStr">
        <is>
          <t>A 48-year-old patient involved in a motor vehicle collision sustains a pelvic ring fracture. On examination, there is blood at the urethral meatus and a high-riding, floating prostate on DRE. What is the most likely injury?</t>
        </is>
      </c>
      <c r="C28" s="3" t="inlineStr">
        <is>
          <t>Anterior Bulbar Urethral Tear</t>
        </is>
      </c>
      <c r="D28" s="3" t="inlineStr">
        <is>
          <t>Posterior Membranous Urethral Tear</t>
        </is>
      </c>
      <c r="E28" s="3" t="inlineStr">
        <is>
          <t>Ureteric Transection</t>
        </is>
      </c>
      <c r="F28" s="3" t="inlineStr">
        <is>
          <t>Renal Pedicle Avulsion</t>
        </is>
      </c>
      <c r="G28" s="3" t="inlineStr">
        <is>
          <t>Prostatic Adenoma Adenocarcinoma</t>
        </is>
      </c>
      <c r="H28" s="2" t="inlineStr"/>
      <c r="I28" s="2">
        <f>IF(H28="","",IF(H28=Answer_Key_&amp;_Rationales!G28,"CORRECT","INCORRECT"))</f>
        <v/>
      </c>
      <c r="J28" s="3" t="inlineStr">
        <is>
          <t>Pelvic fractures disrupt the puboprostatic ligaments, causing shear injury to the membranous (posterior) urethra, resulting in a high-riding/floating prostate on DRE.</t>
        </is>
      </c>
    </row>
    <row r="29">
      <c r="A29" s="2" t="n">
        <v>28</v>
      </c>
      <c r="B29" s="3" t="inlineStr">
        <is>
          <t>What is the recommended serum tumor marker monitor following complete surgical treatment of Non-Seminomatous Germ Cell Testicular Tumors (NSGCT)?</t>
        </is>
      </c>
      <c r="C29" s="3" t="inlineStr">
        <is>
          <t>CA-125 and CEA</t>
        </is>
      </c>
      <c r="D29" s="3" t="inlineStr">
        <is>
          <t>Alpha-Fetoprotein (AFP) and beta-hCG</t>
        </is>
      </c>
      <c r="E29" s="3" t="inlineStr">
        <is>
          <t>Prostate-Specific Antigen (PSA)</t>
        </is>
      </c>
      <c r="F29" s="3" t="inlineStr">
        <is>
          <t>CA 19-9 and Calcitonin</t>
        </is>
      </c>
      <c r="G29" s="3" t="inlineStr">
        <is>
          <t>Thyroglobulin and Parathyroid Hormone</t>
        </is>
      </c>
      <c r="H29" s="2" t="inlineStr"/>
      <c r="I29" s="2">
        <f>IF(H29="","",IF(H29=Answer_Key_&amp;_Rationales!G29,"CORRECT","INCORRECT"))</f>
        <v/>
      </c>
      <c r="J29" s="3" t="inlineStr">
        <is>
          <t>Serum AFP and beta-hCG are the crucial tumor markers used for diagnosis, risk staging, monitoring treatment response, and detecting relapse in NSGCT.</t>
        </is>
      </c>
    </row>
    <row r="30">
      <c r="A30" s="2" t="n">
        <v>29</v>
      </c>
      <c r="B30" s="3" t="inlineStr">
        <is>
          <t>A 70-year-old male with severe BPH is started on Finasteride. How does Finasteride work?</t>
        </is>
      </c>
      <c r="C30" s="3" t="inlineStr">
        <is>
          <t>Blocks Alpha-1a adrenergic receptors in prostatic stroma</t>
        </is>
      </c>
      <c r="D30" s="3" t="inlineStr">
        <is>
          <t>Inhibits 5-alpha reductase enzyme, preventing conversion of Testosterone to Dihydrotestosterone (DHT)</t>
        </is>
      </c>
      <c r="E30" s="3" t="inlineStr">
        <is>
          <t>Inhibits aromatase enzyme in peripheral adipose tissue</t>
        </is>
      </c>
      <c r="F30" s="3" t="inlineStr">
        <is>
          <t>Competitively blocks androgen receptors in target tissues</t>
        </is>
      </c>
      <c r="G30" s="3" t="inlineStr">
        <is>
          <t>Stimulates luteinizing hormone secretion</t>
        </is>
      </c>
      <c r="H30" s="2" t="inlineStr"/>
      <c r="I30" s="2">
        <f>IF(H30="","",IF(H30=Answer_Key_&amp;_Rationales!G30,"CORRECT","INCORRECT"))</f>
        <v/>
      </c>
      <c r="J30" s="3" t="inlineStr">
        <is>
          <t>Finasteride is a 5-alpha reductase inhibitor that blocks the conversion of testosterone to dihydrotestosterone (DHT), inducing prostatic epithelial atrophy and shrinking prostate volume.</t>
        </is>
      </c>
    </row>
    <row r="31">
      <c r="A31" s="2" t="n">
        <v>30</v>
      </c>
      <c r="B31" s="3" t="inlineStr">
        <is>
          <t>A 14-year-old boy presents with acute scrotal pain. Surgical exploration within 4 hours reveals a twisted, ischemic left testis. The testis turns pink and viable following detorsion and warm saline sponges. What is the final operative procedure?</t>
        </is>
      </c>
      <c r="C31" s="3" t="inlineStr">
        <is>
          <t>Left Orchidectomy and right observation</t>
        </is>
      </c>
      <c r="D31" s="3" t="inlineStr">
        <is>
          <t>Bilateral Orchidopexy (fixation of BOTH left and right testes)</t>
        </is>
      </c>
      <c r="E31" s="3" t="inlineStr">
        <is>
          <t>Left Orchidopexy only</t>
        </is>
      </c>
      <c r="F31" s="3" t="inlineStr">
        <is>
          <t>Bilateral Orchidectomy</t>
        </is>
      </c>
      <c r="G31" s="3" t="inlineStr">
        <is>
          <t>Left Inguinal Hernioplasty</t>
        </is>
      </c>
      <c r="H31" s="2" t="inlineStr"/>
      <c r="I31" s="2">
        <f>IF(H31="","",IF(H31=Answer_Key_&amp;_Rationales!G31,"CORRECT","INCORRECT"))</f>
        <v/>
      </c>
      <c r="J31" s="3" t="inlineStr">
        <is>
          <t>Because the underlying anatomical defect ('bell-clapper deformity') is almost always bilateral, orchidopexy MUST be performed bilaterally to prevent future torsion of the contralateral testis.</t>
        </is>
      </c>
    </row>
  </sheetData>
  <dataValidations count="1">
    <dataValidation sqref="H2 H3 H4 H5 H6 H7 H8 H9 H10 H11 H12 H13 H14 H15 H16 H17 H18 H19 H20 H21 H22 H23 H24 H25 H26 H27 H28 H29 H30 H31" showDropDown="0" showInputMessage="0" showErrorMessage="0" allowBlank="1" type="list">
      <formula1>"A,B,C,D,E"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showGridLines="1" workbookViewId="0">
      <selection activeCell="A1" sqref="A1"/>
    </sheetView>
  </sheetViews>
  <sheetFormatPr baseColWidth="8" defaultRowHeight="15"/>
  <cols>
    <col width="25" customWidth="1" min="1" max="1"/>
    <col width="30" customWidth="1" min="2" max="2"/>
  </cols>
  <sheetData>
    <row r="1">
      <c r="A1" s="4" t="inlineStr">
        <is>
          <t>Module 8 Urology &amp; Male Genital Surgery - Performance Scorecard</t>
        </is>
      </c>
    </row>
    <row r="3">
      <c r="A3" s="5" t="inlineStr">
        <is>
          <t>Total Questions</t>
        </is>
      </c>
      <c r="B3" s="6">
        <f>COUNTA(Interactive_Quiz!A2:A31)</f>
        <v/>
      </c>
    </row>
    <row r="4">
      <c r="A4" s="5" t="inlineStr">
        <is>
          <t>Questions Answered</t>
        </is>
      </c>
      <c r="B4" s="6">
        <f>COUNTA(Interactive_Quiz!H2:H31)</f>
        <v/>
      </c>
    </row>
    <row r="5">
      <c r="A5" s="5" t="inlineStr">
        <is>
          <t>Correct Answers</t>
        </is>
      </c>
      <c r="B5" s="6">
        <f>COUNTIF(Interactive_Quiz!I2:I31, "CORRECT")</f>
        <v/>
      </c>
    </row>
    <row r="6">
      <c r="A6" s="5" t="inlineStr">
        <is>
          <t>Incorrect Answers</t>
        </is>
      </c>
      <c r="B6" s="6">
        <f>COUNTIF(Interactive_Quiz!I2:I31, "INCORRECT")</f>
        <v/>
      </c>
    </row>
    <row r="7">
      <c r="A7" s="5" t="inlineStr">
        <is>
          <t>Score Percentage</t>
        </is>
      </c>
      <c r="B7" s="7">
        <f>IF(B3=0, 0, B4/B2)</f>
        <v/>
      </c>
    </row>
    <row r="8">
      <c r="A8" s="5" t="inlineStr">
        <is>
          <t>Performance Grade</t>
        </is>
      </c>
      <c r="B8" s="6">
        <f>IF(B6&gt;=0.85, "EXCELLENT - MASTERY", IF(B6&gt;=0.70, "GOOD - PASS", IF(B3=0, "NOT STARTED", "NEEDS REVIEW")))</f>
        <v/>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1"/>
  <sheetViews>
    <sheetView showGridLines="1" workbookViewId="0">
      <selection activeCell="A1" sqref="A1"/>
    </sheetView>
  </sheetViews>
  <sheetFormatPr baseColWidth="8" defaultRowHeight="15"/>
  <cols>
    <col width="6" customWidth="1" min="1" max="1"/>
    <col width="40" customWidth="1" min="2" max="2"/>
    <col width="20" customWidth="1" min="3" max="3"/>
    <col width="20" customWidth="1" min="4" max="4"/>
    <col width="20" customWidth="1" min="5" max="5"/>
    <col width="20" customWidth="1" min="6" max="6"/>
    <col width="20" customWidth="1" min="7" max="7"/>
    <col width="18" customWidth="1" min="8" max="8"/>
    <col width="45" customWidth="1" min="9" max="9"/>
  </cols>
  <sheetData>
    <row r="1">
      <c r="A1" s="1" t="inlineStr">
        <is>
          <t>Q#</t>
        </is>
      </c>
      <c r="B1" s="1" t="inlineStr">
        <is>
          <t>Clinical Question</t>
        </is>
      </c>
      <c r="C1" s="1" t="inlineStr">
        <is>
          <t>Option A</t>
        </is>
      </c>
      <c r="D1" s="1" t="inlineStr">
        <is>
          <t>Option B</t>
        </is>
      </c>
      <c r="E1" s="1" t="inlineStr">
        <is>
          <t>Option C</t>
        </is>
      </c>
      <c r="F1" s="1" t="inlineStr">
        <is>
          <t>Option D</t>
        </is>
      </c>
      <c r="G1" s="1" t="inlineStr">
        <is>
          <t>Option E</t>
        </is>
      </c>
      <c r="H1" s="1" t="inlineStr">
        <is>
          <t>Correct Answer Key</t>
        </is>
      </c>
      <c r="I1" s="1" t="inlineStr">
        <is>
          <t>Detailed Clinical Rationale</t>
        </is>
      </c>
    </row>
    <row r="2">
      <c r="A2" s="2" t="n">
        <v>1</v>
      </c>
      <c r="B2" s="3" t="inlineStr">
        <is>
          <t>A 35-year-old man presents with severe, agonizing left loin-to-groin colicky pain accompanied by nausea and microscopic hematuria. What is the gold standard diagnostic investigation of choice?</t>
        </is>
      </c>
      <c r="C2" s="3" t="inlineStr">
        <is>
          <t>Ultrasonography of Kidneys, Ureters, and Bladder</t>
        </is>
      </c>
      <c r="D2" s="3" t="inlineStr">
        <is>
          <t>Plain Abdominal KUB Radiograph</t>
        </is>
      </c>
      <c r="E2" s="3" t="inlineStr">
        <is>
          <t>Non-contrast Computed Tomography KUB (NCCT KUB)</t>
        </is>
      </c>
      <c r="F2" s="3" t="inlineStr">
        <is>
          <t>Intravenous Urogram (IVU)</t>
        </is>
      </c>
      <c r="G2" s="3" t="inlineStr">
        <is>
          <t>Contrast-Enhanced CT Abdomen</t>
        </is>
      </c>
      <c r="H2" s="2" t="inlineStr">
        <is>
          <t>C</t>
        </is>
      </c>
      <c r="I2" s="3" t="inlineStr">
        <is>
          <t>Non-contrast CT KUB (NCCT KUB) is the gold standard diagnostic investigation for suspected urolithiasis, boasting &gt;98% sensitivity and specificity for detecting stone size, location, and attenuation.</t>
        </is>
      </c>
    </row>
    <row r="3">
      <c r="A3" s="2" t="n">
        <v>2</v>
      </c>
      <c r="B3" s="3" t="inlineStr">
        <is>
          <t>A 68-year-old male with long-standing BPH presents with acute inability to void for 8 hours and severe suprapubic pain. Examination reveals a palpable bladder up to the umbilicus. What is the immediate initial step in management?</t>
        </is>
      </c>
      <c r="C3" s="3" t="inlineStr">
        <is>
          <t>Immediate administration of IV Furosemide</t>
        </is>
      </c>
      <c r="D3" s="3" t="inlineStr">
        <is>
          <t>Urgent Transurethral Resection of Prostate (TURP)</t>
        </is>
      </c>
      <c r="E3" s="3" t="inlineStr">
        <is>
          <t>Immediate Urethral Catheterization with a 16F Foley catheter</t>
        </is>
      </c>
      <c r="F3" s="3" t="inlineStr">
        <is>
          <t>Initiation of oral Tamsulosin 400 mcg daily</t>
        </is>
      </c>
      <c r="G3" s="3" t="inlineStr">
        <is>
          <t>Emergency Suprapubic Cystostomy</t>
        </is>
      </c>
      <c r="H3" s="2" t="inlineStr">
        <is>
          <t>C</t>
        </is>
      </c>
      <c r="I3" s="3" t="inlineStr">
        <is>
          <t>Immediate urinary decompression via urethral catheterization using a 16F Foley catheter is the standard initial management for acute urinary retention (AROU).</t>
        </is>
      </c>
    </row>
    <row r="4">
      <c r="A4" s="2" t="n">
        <v>3</v>
      </c>
      <c r="B4" s="3" t="inlineStr">
        <is>
          <t>A 55-year-old chronic heavy smoker presents with a 3-week history of painless, profuse, intermittent gross hematuria throughout micturition. Physical examination is unremarkable. What is the most crucial diagnostic test?</t>
        </is>
      </c>
      <c r="C4" s="3" t="inlineStr">
        <is>
          <t>Urine culture and sensitivity</t>
        </is>
      </c>
      <c r="D4" s="3" t="inlineStr">
        <is>
          <t>Flexible/Rigid Cystoscopy with biopsy</t>
        </is>
      </c>
      <c r="E4" s="3" t="inlineStr">
        <is>
          <t>Serum Prostate-Specific Antigen (PSA)</t>
        </is>
      </c>
      <c r="F4" s="3" t="inlineStr">
        <is>
          <t>Renal Angiography</t>
        </is>
      </c>
      <c r="G4" s="3" t="inlineStr">
        <is>
          <t>Transrectal Ultrasound (TRUS)</t>
        </is>
      </c>
      <c r="H4" s="2" t="inlineStr">
        <is>
          <t>B</t>
        </is>
      </c>
      <c r="I4" s="3" t="inlineStr">
        <is>
          <t>Painless gross hematuria in any patient &gt;45 years old MUST be investigated with Cystoscopy to rule out Transitional Cell Carcinoma (TCC) of the urinary bladder.</t>
        </is>
      </c>
    </row>
    <row r="5">
      <c r="A5" s="2" t="n">
        <v>4</v>
      </c>
      <c r="B5" s="3" t="inlineStr">
        <is>
          <t>A 16-year-old boy presents with sudden-onset severe right scrotal pain that woke him from sleep 2 hours ago. On examination, the right testis is swollen, tender, high-riding, and horizontally lie. Cremasteric reflex is absent. What is the most appropriate next step?</t>
        </is>
      </c>
      <c r="C5" s="3" t="inlineStr">
        <is>
          <t>Order an urgent Color Doppler Scrotal Ultrasound</t>
        </is>
      </c>
      <c r="D5" s="3" t="inlineStr">
        <is>
          <t>Administer IV Ceftriaxone and oral Doxycycline</t>
        </is>
      </c>
      <c r="E5" s="3" t="inlineStr">
        <is>
          <t>Immediate emergency scrotal exploration and bilateral orchidopexy</t>
        </is>
      </c>
      <c r="F5" s="3" t="inlineStr">
        <is>
          <t>Apply ice packs and prescribe scrotal elevation support</t>
        </is>
      </c>
      <c r="G5" s="3" t="inlineStr">
        <is>
          <t>Manual detorsion and discharge on oral analgesics</t>
        </is>
      </c>
      <c r="H5" s="2" t="inlineStr">
        <is>
          <t>C</t>
        </is>
      </c>
      <c r="I5" s="3" t="inlineStr">
        <is>
          <t>Testicular torsion is a surgical emergency with a 6-hour golden window. Clinical diagnosis dictates immediate scrotal exploration and bilateral orchidopexy without delaying for ultrasound.</t>
        </is>
      </c>
    </row>
    <row r="6">
      <c r="A6" s="2" t="n">
        <v>5</v>
      </c>
      <c r="B6" s="3" t="inlineStr">
        <is>
          <t>A 28-year-old man presents with gradual onset right scrotal pain and swelling over 3 days, accompanied by fever and dysuria. On examination, elevating the right scrotum reduces the pain (Positive Prehn's sign). What is the most likely diagnosis?</t>
        </is>
      </c>
      <c r="C6" s="3" t="inlineStr">
        <is>
          <t>Testicular Torsion</t>
        </is>
      </c>
      <c r="D6" s="3" t="inlineStr">
        <is>
          <t>Acute Epididymo-orchitis</t>
        </is>
      </c>
      <c r="E6" s="3" t="inlineStr">
        <is>
          <t>Strangulated Indirect Inguinal Hernia</t>
        </is>
      </c>
      <c r="F6" s="3" t="inlineStr">
        <is>
          <t>Varicocele</t>
        </is>
      </c>
      <c r="G6" s="3" t="inlineStr">
        <is>
          <t>Testicular Seminoma</t>
        </is>
      </c>
      <c r="H6" s="2" t="inlineStr">
        <is>
          <t>B</t>
        </is>
      </c>
      <c r="I6" s="3" t="inlineStr">
        <is>
          <t>Gradual onset pain, fever, dysuria, and a POSITIVE Prehn's sign (pain relief on scrotal elevation) are classic features of Acute Epididymo-orchitis.</t>
        </is>
      </c>
    </row>
    <row r="7">
      <c r="A7" s="2" t="n">
        <v>6</v>
      </c>
      <c r="B7" s="3" t="inlineStr">
        <is>
          <t>A 25-year-old man presents with a painless, firm, heavy mass in his left testis noticed 2 months ago. Scrotal USG confirms a 2.5 cm intra-testicular mass. Serum tumor markers reveal normal AFP, elevated b-hCG (45 IU/L), and elevated LDH. What is the most likely diagnosis?</t>
        </is>
      </c>
      <c r="C7" s="3" t="inlineStr">
        <is>
          <t>Yolk Sac Tumor</t>
        </is>
      </c>
      <c r="D7" s="3" t="inlineStr">
        <is>
          <t>Classic Seminoma</t>
        </is>
      </c>
      <c r="E7" s="3" t="inlineStr">
        <is>
          <t>Choriocarcinoma</t>
        </is>
      </c>
      <c r="F7" s="3" t="inlineStr">
        <is>
          <t>Teratoma</t>
        </is>
      </c>
      <c r="G7" s="3" t="inlineStr">
        <is>
          <t>Leydig Cell Tumor</t>
        </is>
      </c>
      <c r="H7" s="2" t="inlineStr">
        <is>
          <t>B</t>
        </is>
      </c>
      <c r="I7" s="3" t="inlineStr">
        <is>
          <t>Pure Seminoma classically presents with normal AFP and mild elevation of b-hCG in ~15-20% of cases. Yolk sac tumors characteristically produce high AFP.</t>
        </is>
      </c>
    </row>
    <row r="8">
      <c r="A8" s="2" t="n">
        <v>7</v>
      </c>
      <c r="B8" s="3" t="inlineStr">
        <is>
          <t>Why is trans-scrotal needle biopsy contraindicated in a patient suspected of having a testicular tumor?</t>
        </is>
      </c>
      <c r="C8" s="3" t="inlineStr">
        <is>
          <t>High risk of intractable scrotal hematoma</t>
        </is>
      </c>
      <c r="D8" s="3" t="inlineStr">
        <is>
          <t>High risk of tumor seeding to inguinal lymph nodes and changing lymphatic drainage</t>
        </is>
      </c>
      <c r="E8" s="3" t="inlineStr">
        <is>
          <t>Inability to obtain adequate tissue for histological grading</t>
        </is>
      </c>
      <c r="F8" s="3" t="inlineStr">
        <is>
          <t>High incidence of post-biopsy acute epididymitis</t>
        </is>
      </c>
      <c r="G8" s="3" t="inlineStr">
        <is>
          <t>High risk of precipitating testicular torsion</t>
        </is>
      </c>
      <c r="H8" s="2" t="inlineStr">
        <is>
          <t>B</t>
        </is>
      </c>
      <c r="I8" s="3" t="inlineStr">
        <is>
          <t>Trans-scrotal biopsy breaks the anatomical barrier of tunica dartos, causing tumor spillage and seeding into scrotal skin and superficial inguinal lymph nodes.</t>
        </is>
      </c>
    </row>
    <row r="9">
      <c r="A9" s="2" t="n">
        <v>8</v>
      </c>
      <c r="B9" s="3" t="inlineStr">
        <is>
          <t>A 62-year-old male presents with a dull, dragging pain in his left scrotum. Examination in the standing position reveals a soft 'bag of worms' sensation above the left testis that disappears when supine. What is the anatomical explanation for this predominance on the left?</t>
        </is>
      </c>
      <c r="C9" s="3" t="inlineStr">
        <is>
          <t>Left testicular artery arises directly from the anterior abdominal aorta</t>
        </is>
      </c>
      <c r="D9" s="3" t="inlineStr">
        <is>
          <t>Left testicular vein drains into the left renal vein at a right angle (90 degrees)</t>
        </is>
      </c>
      <c r="E9" s="3" t="inlineStr">
        <is>
          <t>Left cremasteric artery is compressed by the inguinal ligament</t>
        </is>
      </c>
      <c r="F9" s="3" t="inlineStr">
        <is>
          <t>Left pampiniform plexus lacks venous valves entirely</t>
        </is>
      </c>
      <c r="G9" s="3" t="inlineStr">
        <is>
          <t>Left testicular vein drains directly into the Inferior Vena Cava</t>
        </is>
      </c>
      <c r="H9" s="2" t="inlineStr">
        <is>
          <t>B</t>
        </is>
      </c>
      <c r="I9" s="3" t="inlineStr">
        <is>
          <t>Left-sided varicoceles are common because the left testicular vein enters the left renal vein at a 90-degree right angle, leading to higher hydrostatic pressure.</t>
        </is>
      </c>
    </row>
    <row r="10">
      <c r="A10" s="2" t="n">
        <v>9</v>
      </c>
      <c r="B10" s="3" t="inlineStr">
        <is>
          <t>A 65-year-old man presents with a sudden-onset, non-reducing right-sided varicocele. What mandatory investigation must be performed immediately?</t>
        </is>
      </c>
      <c r="C10" s="3" t="inlineStr">
        <is>
          <t>High ligation of testicular vein (Palomo procedure)</t>
        </is>
      </c>
      <c r="D10" s="3" t="inlineStr">
        <is>
          <t>Contrast-Enhanced CT Abdomen and Pelvis</t>
        </is>
      </c>
      <c r="E10" s="3" t="inlineStr">
        <is>
          <t>Scrotal Transillumination Test</t>
        </is>
      </c>
      <c r="F10" s="3" t="inlineStr">
        <is>
          <t>Diagnostic Laparoscopy</t>
        </is>
      </c>
      <c r="G10" s="3" t="inlineStr">
        <is>
          <t>Urethro-cystoscopy</t>
        </is>
      </c>
      <c r="H10" s="2" t="inlineStr">
        <is>
          <t>B</t>
        </is>
      </c>
      <c r="I10" s="3" t="inlineStr">
        <is>
          <t>Right-sided varicocele or a sudden-onset non-reducing left varicocele in an older man strongly suggests retroperitoneal tumor obstruction (e.g., RCC invading IVC/renal vein).</t>
        </is>
      </c>
    </row>
    <row r="11">
      <c r="A11" s="2" t="n">
        <v>10</v>
      </c>
      <c r="B11" s="3" t="inlineStr">
        <is>
          <t>A 30-year-old man is brought to the ED following a bicycle accident where he fell astride the crossbar. He has acute urinary retention, blood at the external urethral meatus, and a 'butterfly' perineal hematoma. Pelvic compression test is painless and stable. What is the most likely diagnosis?</t>
        </is>
      </c>
      <c r="C11" s="3" t="inlineStr">
        <is>
          <t>Posterior (Membranous) Urethral Rupture</t>
        </is>
      </c>
      <c r="D11" s="3" t="inlineStr">
        <is>
          <t>Anterior (Bulbar) Urethral Rupture</t>
        </is>
      </c>
      <c r="E11" s="3" t="inlineStr">
        <is>
          <t>Intraperitoneal Bladder Rupture</t>
        </is>
      </c>
      <c r="F11" s="3" t="inlineStr">
        <is>
          <t>Ureteric Avulsion</t>
        </is>
      </c>
      <c r="G11" s="3" t="inlineStr">
        <is>
          <t>Prostatic Urethral Tear</t>
        </is>
      </c>
      <c r="H11" s="2" t="inlineStr">
        <is>
          <t>B</t>
        </is>
      </c>
      <c r="I11" s="3" t="inlineStr">
        <is>
          <t>A straddle (fall astride) injury crushes the bulbar urethra against the pubic symphysis, producing anterior urethral rupture with blood at the meatus and perineal butterfly hematoma.</t>
        </is>
      </c>
    </row>
    <row r="12">
      <c r="A12" s="2" t="n">
        <v>11</v>
      </c>
      <c r="B12" s="3" t="inlineStr">
        <is>
          <t>In a patient presenting with blood at the external urethral meatus following pelvic trauma, what is the SINGLE MOST IMPORTANT initial investigation before attempting catheterization?</t>
        </is>
      </c>
      <c r="C12" s="3" t="inlineStr">
        <is>
          <t>Intravenous Pyelogram (IVP)</t>
        </is>
      </c>
      <c r="D12" s="3" t="inlineStr">
        <is>
          <t>Ascending Retrograde Urethrogram (RUG)</t>
        </is>
      </c>
      <c r="E12" s="3" t="inlineStr">
        <is>
          <t>Non-contrast CT KUB</t>
        </is>
      </c>
      <c r="F12" s="3" t="inlineStr">
        <is>
          <t>Bedside Ultrasound Bladder Scan</t>
        </is>
      </c>
      <c r="G12" s="3" t="inlineStr">
        <is>
          <t>Flexible Cystoscopy</t>
        </is>
      </c>
      <c r="H12" s="2" t="inlineStr">
        <is>
          <t>B</t>
        </is>
      </c>
      <c r="I12" s="3" t="inlineStr">
        <is>
          <t>Ascending Retrograde Urethrogram (RUG) must be performed to evaluate urethral continuity BEFORE any attempt at urethral catheterization to avoid converting a partial tear into a complete rupture.</t>
        </is>
      </c>
    </row>
    <row r="13">
      <c r="A13" s="2" t="n">
        <v>12</v>
      </c>
      <c r="B13" s="3" t="inlineStr">
        <is>
          <t>A 60-year-old male presents with a painless, smooth, cystic swelling in the right scrotum that completely transilluminates. You can easily get above the mass on examination. What is the definitive surgical management?</t>
        </is>
      </c>
      <c r="C13" s="3" t="inlineStr">
        <is>
          <t>High Orchidectomy via Inguinal approach</t>
        </is>
      </c>
      <c r="D13" s="3" t="inlineStr">
        <is>
          <t>Jaboulay operation or Lord's plication procedure</t>
        </is>
      </c>
      <c r="E13" s="3" t="inlineStr">
        <is>
          <t>Lichtenstein Mesh Repair</t>
        </is>
      </c>
      <c r="F13" s="3" t="inlineStr">
        <is>
          <t>Palomo Operation</t>
        </is>
      </c>
      <c r="G13" s="3" t="inlineStr">
        <is>
          <t>Needle aspiration and sclerotherapy</t>
        </is>
      </c>
      <c r="H13" s="2" t="inlineStr">
        <is>
          <t>B</t>
        </is>
      </c>
      <c r="I13" s="3" t="inlineStr">
        <is>
          <t>Vaginal hydrocele is treated surgically by Jaboulay's eversion of the tunica vaginalis sac or Lord's plication of the sac.</t>
        </is>
      </c>
    </row>
    <row r="14">
      <c r="A14" s="2" t="n">
        <v>13</v>
      </c>
      <c r="B14" s="3" t="inlineStr">
        <is>
          <t>A 72-year-old man undergoes TURP for severe BPH. Two hours post-operatively, he becomes confused, nauseated, bradycardic, and develops muscle twitching. Serum sodium is 118 mmol/L. What is the underlying cause?</t>
        </is>
      </c>
      <c r="C14" s="3" t="inlineStr">
        <is>
          <t>Septic shock from Gram-negative bacteremia</t>
        </is>
      </c>
      <c r="D14" s="3" t="inlineStr">
        <is>
          <t>TURP Syndrome due to systemic absorption of hypotonic glycine irrigation fluid</t>
        </is>
      </c>
      <c r="E14" s="3" t="inlineStr">
        <is>
          <t>Acute myocardial infarction</t>
        </is>
      </c>
      <c r="F14" s="3" t="inlineStr">
        <is>
          <t>Malignant hyperthermia</t>
        </is>
      </c>
      <c r="G14" s="3" t="inlineStr">
        <is>
          <t>Anaphylactic reaction to latex catheter</t>
        </is>
      </c>
      <c r="H14" s="2" t="inlineStr">
        <is>
          <t>B</t>
        </is>
      </c>
      <c r="I14" s="3" t="inlineStr">
        <is>
          <t>TURP syndrome results from intravascular absorption of non-conductive hypotonic irrigating fluid (glycine), causing dilutional hyponatremia and fluid overload.</t>
        </is>
      </c>
    </row>
    <row r="15">
      <c r="A15" s="2" t="n">
        <v>14</v>
      </c>
      <c r="B15" s="3" t="inlineStr">
        <is>
          <t>A 64-year-old male with lower back pain has a hard, nodular, asymmetrical prostate on Digital Rectal Examination. Serum PSA is 48 ng/mL. Plain X-rays of the pelvis show dense osteoblastic lesions in the lumbar spine. Which pathway did the cancer spread through to the spine?</t>
        </is>
      </c>
      <c r="C15" s="3" t="inlineStr">
        <is>
          <t>Thoracic duct lymphatic drainage</t>
        </is>
      </c>
      <c r="D15" s="3" t="inlineStr">
        <is>
          <t>Batson's valveless venous plexus</t>
        </is>
      </c>
      <c r="E15" s="3" t="inlineStr">
        <is>
          <t>Direct extension along the sciatic nerve</t>
        </is>
      </c>
      <c r="F15" s="3" t="inlineStr">
        <is>
          <t>Internal iliac arterial embolization</t>
        </is>
      </c>
      <c r="G15" s="3" t="inlineStr">
        <is>
          <t>Obturator lymphatic chain</t>
        </is>
      </c>
      <c r="H15" s="2" t="inlineStr">
        <is>
          <t>B</t>
        </is>
      </c>
      <c r="I15" s="3" t="inlineStr">
        <is>
          <t>Prostate cancer metastasizes to the axial skeleton (lumbar spine, pelvis) via Batson's valveless venous plexus, which connects prostatic veins directly to vertebral veins.</t>
        </is>
      </c>
    </row>
    <row r="16">
      <c r="A16" s="2" t="n">
        <v>15</v>
      </c>
      <c r="B16" s="3" t="inlineStr">
        <is>
          <t>Which pharmacological agent is indicated for FAST symptom relief in BPH by relaxing prostatic smooth muscle at the bladder neck?</t>
        </is>
      </c>
      <c r="C16" s="3" t="inlineStr">
        <is>
          <t>Finasteride (5-alpha reductase inhibitor)</t>
        </is>
      </c>
      <c r="D16" s="3" t="inlineStr">
        <is>
          <t>Tamsulosin (Alpha-1a adrenergic receptor antagonist)</t>
        </is>
      </c>
      <c r="E16" s="3" t="inlineStr">
        <is>
          <t>Cyproterone acetate</t>
        </is>
      </c>
      <c r="F16" s="3" t="inlineStr">
        <is>
          <t>Bicalutamide</t>
        </is>
      </c>
      <c r="G16" s="3" t="inlineStr">
        <is>
          <t>Oxybutynin</t>
        </is>
      </c>
      <c r="H16" s="2" t="inlineStr">
        <is>
          <t>B</t>
        </is>
      </c>
      <c r="I16" s="3" t="inlineStr">
        <is>
          <t>Alpha-1 antagonists (Tamsulosin) act within 48-72 hours by relaxing smooth muscle at the bladder neck and prostate capsule. Finasteride takes 3-6 months to shrink prostate size.</t>
        </is>
      </c>
    </row>
    <row r="17">
      <c r="A17" s="2" t="n">
        <v>16</v>
      </c>
      <c r="B17" s="3" t="inlineStr">
        <is>
          <t>A 50-year-old man presents with severe left flank pain, fever (38.9 C), rigors, and vomiting. NCCT KUB shows a 7 mm left mid-ureteric stone causing proximal hydronephrosis. What is the immediate treatment priority?</t>
        </is>
      </c>
      <c r="C17" s="3" t="inlineStr">
        <is>
          <t>Extracorporeal Shock Wave Lithotripsy (ESWL)</t>
        </is>
      </c>
      <c r="D17" s="3" t="inlineStr">
        <is>
          <t>Urgent decompression via retrograde JJ stenting or Percutaneous Nephrostomy (PCN) + IV antibiotics</t>
        </is>
      </c>
      <c r="E17" s="3" t="inlineStr">
        <is>
          <t>Emergency Open Ureterolithotomy</t>
        </is>
      </c>
      <c r="F17" s="3" t="inlineStr">
        <is>
          <t>Oral Tamsulosin and discharge with outpatient follow-up</t>
        </is>
      </c>
      <c r="G17" s="3" t="inlineStr">
        <is>
          <t>Urgent Ureteroscopy (URS) and stone fragmentation</t>
        </is>
      </c>
      <c r="H17" s="2" t="inlineStr">
        <is>
          <t>B</t>
        </is>
      </c>
      <c r="I17" s="3" t="inlineStr">
        <is>
          <t>An infected obstructed kidney (stone + sepsis) is a life-threatening urological emergency requiring immediate emergency biliary/urinary decompression via JJ stent or PCN tube.</t>
        </is>
      </c>
    </row>
    <row r="18">
      <c r="A18" s="2" t="n">
        <v>17</v>
      </c>
      <c r="B18" s="3" t="inlineStr">
        <is>
          <t>Which type of renal calculus is classically associated with recurrent Proteus mirabilis urinary tract infections and forms large staghorn calculi in the renal pelvis?</t>
        </is>
      </c>
      <c r="C18" s="3" t="inlineStr">
        <is>
          <t>Calcium Oxalate Monohydrate</t>
        </is>
      </c>
      <c r="D18" s="3" t="inlineStr">
        <is>
          <t>Struvite (Magnesium Ammonium Phosphate)</t>
        </is>
      </c>
      <c r="E18" s="3" t="inlineStr">
        <is>
          <t>Uric Acid</t>
        </is>
      </c>
      <c r="F18" s="3" t="inlineStr">
        <is>
          <t>Cysteine</t>
        </is>
      </c>
      <c r="G18" s="3" t="inlineStr">
        <is>
          <t>Calcium Phosphate</t>
        </is>
      </c>
      <c r="H18" s="2" t="inlineStr">
        <is>
          <t>B</t>
        </is>
      </c>
      <c r="I18" s="3" t="inlineStr">
        <is>
          <t>Struvite (triple phosphate) stones are infection-induced stones caused by urease-producing bacteria (Proteus, Klebsiella), forming radio-opaque staghorn calculi in alkaline urine.</t>
        </is>
      </c>
    </row>
    <row r="19">
      <c r="A19" s="2" t="n">
        <v>18</v>
      </c>
      <c r="B19" s="3" t="inlineStr">
        <is>
          <t>A 58-year-old male presents with a triad of right flank pain, gross hematuria, and a palpable abdominal mass. On examination, he also has a non-reducing left-sided varicocele. What is the most likely diagnosis?</t>
        </is>
      </c>
      <c r="C19" s="3" t="inlineStr">
        <is>
          <t>Polycystic Kidney Disease</t>
        </is>
      </c>
      <c r="D19" s="3" t="inlineStr">
        <is>
          <t>Renal Cell Carcinoma (RCC)</t>
        </is>
      </c>
      <c r="E19" s="3" t="inlineStr">
        <is>
          <t>Wilms Tumor</t>
        </is>
      </c>
      <c r="F19" s="3" t="inlineStr">
        <is>
          <t>Renal Amyloidosis</t>
        </is>
      </c>
      <c r="G19" s="3" t="inlineStr">
        <is>
          <t>Xanthogranulomatous Pyelonephritis</t>
        </is>
      </c>
      <c r="H19" s="2" t="inlineStr">
        <is>
          <t>B</t>
        </is>
      </c>
      <c r="I19" s="3" t="inlineStr">
        <is>
          <t>The classic triad of RCC is flank pain, gross hematuria, and palpable mass (&lt;10% cases). Left renal vein tumor thrombus causes left non-reducing varicocele.</t>
        </is>
      </c>
    </row>
    <row r="20">
      <c r="A20" s="2" t="n">
        <v>19</v>
      </c>
      <c r="B20" s="3" t="inlineStr">
        <is>
          <t>What is the primary histological zone of the prostate gland from which Adenocarcinoma of the prostate predominantly originates?</t>
        </is>
      </c>
      <c r="C20" s="3" t="inlineStr">
        <is>
          <t>Transition Zone</t>
        </is>
      </c>
      <c r="D20" s="3" t="inlineStr">
        <is>
          <t>Peripheral Zone</t>
        </is>
      </c>
      <c r="E20" s="3" t="inlineStr">
        <is>
          <t>Central Zone</t>
        </is>
      </c>
      <c r="F20" s="3" t="inlineStr">
        <is>
          <t>Anterior Fibromuscular Stroma</t>
        </is>
      </c>
      <c r="G20" s="3" t="inlineStr">
        <is>
          <t>Periurethral Zone</t>
        </is>
      </c>
      <c r="H20" s="2" t="inlineStr">
        <is>
          <t>B</t>
        </is>
      </c>
      <c r="I20" s="3" t="inlineStr">
        <is>
          <t>Prostate Adenocarcinoma originates in the PERIPHERAL zone (~70-80%), making it easily palpable on Digital Rectal Examination. BPH originates in the TRANSITION zone.</t>
        </is>
      </c>
    </row>
    <row r="21">
      <c r="A21" s="2" t="n">
        <v>20</v>
      </c>
      <c r="B21" s="3" t="inlineStr">
        <is>
          <t>A 22-year-old patient presents with a painful, swollen, ischemic glans penis. The prepuce has been retracted behind the coronal sulcus for 2 days following urethral catheterization and cannot be pulled back forward over the glans. What is the diagnosis?</t>
        </is>
      </c>
      <c r="C21" s="3" t="inlineStr">
        <is>
          <t>Phimosis</t>
        </is>
      </c>
      <c r="D21" s="3" t="inlineStr">
        <is>
          <t>Paraphimosis</t>
        </is>
      </c>
      <c r="E21" s="3" t="inlineStr">
        <is>
          <t>Peyronie's Disease</t>
        </is>
      </c>
      <c r="F21" s="3" t="inlineStr">
        <is>
          <t>Priapism</t>
        </is>
      </c>
      <c r="G21" s="3" t="inlineStr">
        <is>
          <t>Balanitis Xerotica Obliterans</t>
        </is>
      </c>
      <c r="H21" s="2" t="inlineStr">
        <is>
          <t>B</t>
        </is>
      </c>
      <c r="I21" s="3" t="inlineStr">
        <is>
          <t>Paraphimosis occurs when retracted foreskin remains trapped behind the coronal sulcus, acting as a constricting band leading to venous engorgement, edema, and glans ischemia.</t>
        </is>
      </c>
    </row>
    <row r="22">
      <c r="A22" s="2" t="n">
        <v>21</v>
      </c>
      <c r="B22" s="3" t="inlineStr">
        <is>
          <t>A 4-year-old boy is noted by his mother to have ballooning of the foreskin during micturition. On examination, the prepuce cannot be retracted over the glans penis, but there is no acute tissue ischemia or distress. What is the diagnosis?</t>
        </is>
      </c>
      <c r="C22" s="3" t="inlineStr">
        <is>
          <t>Paraphimosis</t>
        </is>
      </c>
      <c r="D22" s="3" t="inlineStr">
        <is>
          <t>Phimosis</t>
        </is>
      </c>
      <c r="E22" s="3" t="inlineStr">
        <is>
          <t>Hypospadias</t>
        </is>
      </c>
      <c r="F22" s="3" t="inlineStr">
        <is>
          <t>Epispadias</t>
        </is>
      </c>
      <c r="G22" s="3" t="inlineStr">
        <is>
          <t>Chordee</t>
        </is>
      </c>
      <c r="H22" s="2" t="inlineStr">
        <is>
          <t>B</t>
        </is>
      </c>
      <c r="I22" s="3" t="inlineStr">
        <is>
          <t>Phimosis is the inability to retract the foreskin over the glans penis. Preputial ballooning during urination is a classic clinical manifestation.</t>
        </is>
      </c>
    </row>
    <row r="23">
      <c r="A23" s="2" t="n">
        <v>22</v>
      </c>
      <c r="B23" s="3" t="inlineStr">
        <is>
          <t>A 45-year-old male with a history of severe gout presents with radiolucent renal stones on plain X-ray KUB. NCCT KUB confirms stone burden in the renal pelvis. What is the composition of these stones?</t>
        </is>
      </c>
      <c r="C23" s="3" t="inlineStr">
        <is>
          <t>Calcium Oxalate</t>
        </is>
      </c>
      <c r="D23" s="3" t="inlineStr">
        <is>
          <t>Uric Acid</t>
        </is>
      </c>
      <c r="E23" s="3" t="inlineStr">
        <is>
          <t>Struvite</t>
        </is>
      </c>
      <c r="F23" s="3" t="inlineStr">
        <is>
          <t>Cysteine</t>
        </is>
      </c>
      <c r="G23" s="3" t="inlineStr">
        <is>
          <t>Calcium Phosphate</t>
        </is>
      </c>
      <c r="H23" s="2" t="inlineStr">
        <is>
          <t>B</t>
        </is>
      </c>
      <c r="I23" s="3" t="inlineStr">
        <is>
          <t>Uric acid stones are classically radiolucent on plain X-ray KUB (though visible on CT) and form in persistently acidic urine in patients with gout or hyperuricemia.</t>
        </is>
      </c>
    </row>
    <row r="24">
      <c r="A24" s="2" t="n">
        <v>23</v>
      </c>
      <c r="B24" s="3" t="inlineStr">
        <is>
          <t>What is the definitive surgical treatment for a fit 52-year-old patient diagnosed with T2b (muscle-invasive) Transitional Cell Carcinoma of the bladder?</t>
        </is>
      </c>
      <c r="C24" s="3" t="inlineStr">
        <is>
          <t>Repeated Transurethral Resection of Bladder Tumor (TURBT)</t>
        </is>
      </c>
      <c r="D24" s="3" t="inlineStr">
        <is>
          <t>Radical Cystectomy with urinary diversion (e.g., Ileal Conduit)</t>
        </is>
      </c>
      <c r="E24" s="3" t="inlineStr">
        <is>
          <t>Intravesical BCG immunotherapy alone</t>
        </is>
      </c>
      <c r="F24" s="3" t="inlineStr">
        <is>
          <t>Partial Cystectomy with 1 cm margins</t>
        </is>
      </c>
      <c r="G24" s="3" t="inlineStr">
        <is>
          <t>Systemic oral Cyclophosphamide</t>
        </is>
      </c>
      <c r="H24" s="2" t="inlineStr">
        <is>
          <t>B</t>
        </is>
      </c>
      <c r="I24" s="3" t="inlineStr">
        <is>
          <t>Muscle-invasive bladder cancer (T2 or greater) requires Radical Cystectomy with pelvic lymph node dissection and urinary diversion (ileal conduit or orthotopic neobladder).</t>
        </is>
      </c>
    </row>
    <row r="25">
      <c r="A25" s="2" t="n">
        <v>24</v>
      </c>
      <c r="B25" s="3" t="inlineStr">
        <is>
          <t>In a patient presenting with an asymptomatic 12 cm clear cell Renal Cell Carcinoma without distant metastases (T2bN0M0), what is the definitive curative surgical option?</t>
        </is>
      </c>
      <c r="C25" s="3" t="inlineStr">
        <is>
          <t>Partial Nephrectomy</t>
        </is>
      </c>
      <c r="D25" s="3" t="inlineStr">
        <is>
          <t>Radical Nephrectomy (removal of kidney, Gerota's fascia, ipsilateral adrenal, and regional lymph nodes)</t>
        </is>
      </c>
      <c r="E25" s="3" t="inlineStr">
        <is>
          <t>Radiofrequency Ablation</t>
        </is>
      </c>
      <c r="F25" s="3" t="inlineStr">
        <is>
          <t>Renal artery embolization alone</t>
        </is>
      </c>
      <c r="G25" s="3" t="inlineStr">
        <is>
          <t>Systemic Immunotherapy with Interleukin-2</t>
        </is>
      </c>
      <c r="H25" s="2" t="inlineStr">
        <is>
          <t>B</t>
        </is>
      </c>
      <c r="I25" s="3" t="inlineStr">
        <is>
          <t>Radical Nephrectomy (en bloc excision of kidney, surrounding fat, Gerota's fascia, and regional nodes) is the gold standard surgical cure for resectable large RCC (&gt;7 cm).</t>
        </is>
      </c>
    </row>
    <row r="26">
      <c r="A26" s="2" t="n">
        <v>25</v>
      </c>
      <c r="B26" s="3" t="inlineStr">
        <is>
          <t>A 19-year-old male presents with painless swelling of the right scrotum. Physical examination demonstrates a smooth, fluctuant, non-tender swelling. Transillumination is brilliant, and the clinician CAN get above the mass. What is the diagnosis?</t>
        </is>
      </c>
      <c r="C26" s="3" t="inlineStr">
        <is>
          <t>Indirect Inguinoscrotal Hernia</t>
        </is>
      </c>
      <c r="D26" s="3" t="inlineStr">
        <is>
          <t>Vaginal Hydrocele</t>
        </is>
      </c>
      <c r="E26" s="3" t="inlineStr">
        <is>
          <t>Varicocele</t>
        </is>
      </c>
      <c r="F26" s="3" t="inlineStr">
        <is>
          <t>Testicular Carcinoma</t>
        </is>
      </c>
      <c r="G26" s="3" t="inlineStr">
        <is>
          <t>Spermatocele</t>
        </is>
      </c>
      <c r="H26" s="2" t="inlineStr">
        <is>
          <t>B</t>
        </is>
      </c>
      <c r="I26" s="3" t="inlineStr">
        <is>
          <t>The ability to 'get above the mass' rules out an inguinoscrotal hernia. Brilliant transillumination confirms a fluid collection (hydrocele).</t>
        </is>
      </c>
    </row>
    <row r="27">
      <c r="A27" s="2" t="n">
        <v>26</v>
      </c>
      <c r="B27" s="3" t="inlineStr">
        <is>
          <t>A 35-year-old infertile male is found to have a soft, non-tender left scrotal mass resembling a 'bag of worms' that decompress when lying flat. What is the primary surgical or radiological treatment for symptomatic varicocele?</t>
        </is>
      </c>
      <c r="C27" s="3" t="inlineStr">
        <is>
          <t>Subinguinal Varicocelectomy or Percutaneous Embolization</t>
        </is>
      </c>
      <c r="D27" s="3" t="inlineStr">
        <is>
          <t>Lord's Plication Procedure</t>
        </is>
      </c>
      <c r="E27" s="3" t="inlineStr">
        <is>
          <t>Jaboulay Eversion Operation</t>
        </is>
      </c>
      <c r="F27" s="3" t="inlineStr">
        <is>
          <t>Orchidopexy</t>
        </is>
      </c>
      <c r="G27" s="3" t="inlineStr">
        <is>
          <t>Radical Inguinal Orchidectomy</t>
        </is>
      </c>
      <c r="H27" s="2" t="inlineStr">
        <is>
          <t>A</t>
        </is>
      </c>
      <c r="I27" s="3" t="inlineStr">
        <is>
          <t>Varicocele is managed surgically via ligation of the spermatic veins (Palomo, Ivanissevich, or subinguinal varicocelectomy) or percutaneous retrograde embolization.</t>
        </is>
      </c>
    </row>
    <row r="28">
      <c r="A28" s="2" t="n">
        <v>27</v>
      </c>
      <c r="B28" s="3" t="inlineStr">
        <is>
          <t>A 48-year-old patient involved in a motor vehicle collision sustains a pelvic ring fracture. On examination, there is blood at the urethral meatus and a high-riding, floating prostate on DRE. What is the most likely injury?</t>
        </is>
      </c>
      <c r="C28" s="3" t="inlineStr">
        <is>
          <t>Anterior Bulbar Urethral Tear</t>
        </is>
      </c>
      <c r="D28" s="3" t="inlineStr">
        <is>
          <t>Posterior Membranous Urethral Tear</t>
        </is>
      </c>
      <c r="E28" s="3" t="inlineStr">
        <is>
          <t>Ureteric Transection</t>
        </is>
      </c>
      <c r="F28" s="3" t="inlineStr">
        <is>
          <t>Renal Pedicle Avulsion</t>
        </is>
      </c>
      <c r="G28" s="3" t="inlineStr">
        <is>
          <t>Prostatic Adenoma Adenocarcinoma</t>
        </is>
      </c>
      <c r="H28" s="2" t="inlineStr">
        <is>
          <t>B</t>
        </is>
      </c>
      <c r="I28" s="3" t="inlineStr">
        <is>
          <t>Pelvic fractures disrupt the puboprostatic ligaments, causing shear injury to the membranous (posterior) urethra, resulting in a high-riding/floating prostate on DRE.</t>
        </is>
      </c>
    </row>
    <row r="29">
      <c r="A29" s="2" t="n">
        <v>28</v>
      </c>
      <c r="B29" s="3" t="inlineStr">
        <is>
          <t>What is the recommended serum tumor marker monitor following complete surgical treatment of Non-Seminomatous Germ Cell Testicular Tumors (NSGCT)?</t>
        </is>
      </c>
      <c r="C29" s="3" t="inlineStr">
        <is>
          <t>CA-125 and CEA</t>
        </is>
      </c>
      <c r="D29" s="3" t="inlineStr">
        <is>
          <t>Alpha-Fetoprotein (AFP) and beta-hCG</t>
        </is>
      </c>
      <c r="E29" s="3" t="inlineStr">
        <is>
          <t>Prostate-Specific Antigen (PSA)</t>
        </is>
      </c>
      <c r="F29" s="3" t="inlineStr">
        <is>
          <t>CA 19-9 and Calcitonin</t>
        </is>
      </c>
      <c r="G29" s="3" t="inlineStr">
        <is>
          <t>Thyroglobulin and Parathyroid Hormone</t>
        </is>
      </c>
      <c r="H29" s="2" t="inlineStr">
        <is>
          <t>B</t>
        </is>
      </c>
      <c r="I29" s="3" t="inlineStr">
        <is>
          <t>Serum AFP and beta-hCG are the crucial tumor markers used for diagnosis, risk staging, monitoring treatment response, and detecting relapse in NSGCT.</t>
        </is>
      </c>
    </row>
    <row r="30">
      <c r="A30" s="2" t="n">
        <v>29</v>
      </c>
      <c r="B30" s="3" t="inlineStr">
        <is>
          <t>A 70-year-old male with severe BPH is started on Finasteride. How does Finasteride work?</t>
        </is>
      </c>
      <c r="C30" s="3" t="inlineStr">
        <is>
          <t>Blocks Alpha-1a adrenergic receptors in prostatic stroma</t>
        </is>
      </c>
      <c r="D30" s="3" t="inlineStr">
        <is>
          <t>Inhibits 5-alpha reductase enzyme, preventing conversion of Testosterone to Dihydrotestosterone (DHT)</t>
        </is>
      </c>
      <c r="E30" s="3" t="inlineStr">
        <is>
          <t>Inhibits aromatase enzyme in peripheral adipose tissue</t>
        </is>
      </c>
      <c r="F30" s="3" t="inlineStr">
        <is>
          <t>Competitively blocks androgen receptors in target tissues</t>
        </is>
      </c>
      <c r="G30" s="3" t="inlineStr">
        <is>
          <t>Stimulates luteinizing hormone secretion</t>
        </is>
      </c>
      <c r="H30" s="2" t="inlineStr">
        <is>
          <t>B</t>
        </is>
      </c>
      <c r="I30" s="3" t="inlineStr">
        <is>
          <t>Finasteride is a 5-alpha reductase inhibitor that blocks the conversion of testosterone to dihydrotestosterone (DHT), inducing prostatic epithelial atrophy and shrinking prostate volume.</t>
        </is>
      </c>
    </row>
    <row r="31">
      <c r="A31" s="2" t="n">
        <v>30</v>
      </c>
      <c r="B31" s="3" t="inlineStr">
        <is>
          <t>A 14-year-old boy presents with acute scrotal pain. Surgical exploration within 4 hours reveals a twisted, ischemic left testis. The testis turns pink and viable following detorsion and warm saline sponges. What is the final operative procedure?</t>
        </is>
      </c>
      <c r="C31" s="3" t="inlineStr">
        <is>
          <t>Left Orchidectomy and right observation</t>
        </is>
      </c>
      <c r="D31" s="3" t="inlineStr">
        <is>
          <t>Bilateral Orchidopexy (fixation of BOTH left and right testes)</t>
        </is>
      </c>
      <c r="E31" s="3" t="inlineStr">
        <is>
          <t>Left Orchidopexy only</t>
        </is>
      </c>
      <c r="F31" s="3" t="inlineStr">
        <is>
          <t>Bilateral Orchidectomy</t>
        </is>
      </c>
      <c r="G31" s="3" t="inlineStr">
        <is>
          <t>Left Inguinal Hernioplasty</t>
        </is>
      </c>
      <c r="H31" s="2" t="inlineStr">
        <is>
          <t>B</t>
        </is>
      </c>
      <c r="I31" s="3" t="inlineStr">
        <is>
          <t>Because the underlying anatomical defect ('bell-clapper deformity') is almost always bilateral, orchidopexy MUST be performed bilaterally to prevent future torsion of the contralateral testis.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2026-10-25T01:11:38Z</dcterms:created>
  <dcterms:modified xmlns:dcterms="http://purl.org/dc/terms/" xmlns:xsi="http://www.w3.org/2001/XMLSchema-instance" xsi:type="dcterms:W3CDTF">2026-10-25T01:11:38Z</dcterms:modified>
</cp:coreProperties>
</file>