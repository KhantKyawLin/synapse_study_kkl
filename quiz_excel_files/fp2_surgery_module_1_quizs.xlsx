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Interactive Quiz (Student)" sheetId="2" state="visible" r:id="rId2"/>
    <sheet xmlns:r="http://schemas.openxmlformats.org/officeDocument/2006/relationships" name="Answer Key &amp; Explanations" sheetId="3" state="visible" r:id="rId3"/>
    <sheet xmlns:r="http://schemas.openxmlformats.org/officeDocument/2006/relationships" name="Summary Datab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3" fillId="2" borderId="1" pivotButton="0" quotePrefix="0" xfId="0"/>
    <xf numFmtId="0" fontId="5" fillId="0" borderId="0" pivotButton="0" quotePrefix="0" xfId="0"/>
    <xf numFmtId="164" fontId="5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5" customWidth="1" min="3" max="3"/>
    <col width="20" customWidth="1" min="4" max="4"/>
  </cols>
  <sheetData>
    <row r="1">
      <c r="A1" s="1" t="inlineStr">
        <is>
          <t>SURGERY (FP-2) MASTER EXAM QUIZ &amp; SUMMARY DATABASE WORKBOOK</t>
        </is>
      </c>
    </row>
    <row r="2">
      <c r="A2" s="2" t="inlineStr">
        <is>
          <t>Generated: 2026-10-04 | Version v1.0 | Final MBBS Surgical Examination Review</t>
        </is>
      </c>
    </row>
    <row r="4">
      <c r="A4" s="3" t="inlineStr">
        <is>
          <t>WORKBOOK NAVIGATION &amp; MODULE ARCHITECTURE</t>
        </is>
      </c>
    </row>
    <row r="5">
      <c r="A5" s="4" t="inlineStr">
        <is>
          <t>Tab Name</t>
        </is>
      </c>
      <c r="B5" s="4" t="inlineStr">
        <is>
          <t>Target Portal</t>
        </is>
      </c>
      <c r="C5" s="4" t="inlineStr">
        <is>
          <t>Description</t>
        </is>
      </c>
      <c r="D5" s="4" t="inlineStr">
        <is>
          <t>Hyperlink</t>
        </is>
      </c>
    </row>
    <row r="6">
      <c r="A6" s="5" t="inlineStr">
        <is>
          <t>Table of Contents</t>
        </is>
      </c>
      <c r="B6" s="5" t="inlineStr">
        <is>
          <t>Overview Portal</t>
        </is>
      </c>
      <c r="C6" s="5" t="inlineStr">
        <is>
          <t>Version stamp, formatting legend, and navigation directory.</t>
        </is>
      </c>
      <c r="D6" s="6">
        <f>HYPERLINK("#'Table of Contents'!A1", "Go to TOC →")</f>
        <v/>
      </c>
    </row>
    <row r="7">
      <c r="A7" s="5" t="inlineStr">
        <is>
          <t>Interactive Quiz (Student)</t>
        </is>
      </c>
      <c r="B7" s="5" t="inlineStr">
        <is>
          <t>Student Portal</t>
        </is>
      </c>
      <c r="C7" s="5" t="inlineStr">
        <is>
          <t>30 high-yield clinical MCQs with automated scorecard &amp; real-time grade checks.</t>
        </is>
      </c>
      <c r="D7" s="6">
        <f>HYPERLINK("#'Interactive Quiz (Student)'!A1", "Start Quiz →")</f>
        <v/>
      </c>
    </row>
    <row r="8">
      <c r="A8" s="5" t="inlineStr">
        <is>
          <t>Answer Key &amp; Explanations</t>
        </is>
      </c>
      <c r="B8" s="5" t="inlineStr">
        <is>
          <t>Instructor Portal</t>
        </is>
      </c>
      <c r="C8" s="5" t="inlineStr">
        <is>
          <t>Correct answers (A-E) and deeply grounded clinical textbook explanations.</t>
        </is>
      </c>
      <c r="D8" s="6">
        <f>HYPERLINK("#'Answer Key &amp; Explanations'!A1", "View Key →")</f>
        <v/>
      </c>
    </row>
    <row r="9">
      <c r="A9" s="5" t="inlineStr">
        <is>
          <t>Summary Database</t>
        </is>
      </c>
      <c r="B9" s="5" t="inlineStr">
        <is>
          <t>Master Database</t>
        </is>
      </c>
      <c r="C9" s="5" t="inlineStr">
        <is>
          <t>Extractable master database table of 20+ core surgical conditions across 7 headers.</t>
        </is>
      </c>
      <c r="D9" s="6">
        <f>HYPERLINK("#'Summary Database'!A1", "Open Database →")</f>
        <v/>
      </c>
    </row>
    <row r="11">
      <c r="A11" s="3" t="inlineStr">
        <is>
          <t>FORMATTING &amp; CELL STYLE LEGEND</t>
        </is>
      </c>
    </row>
    <row r="12">
      <c r="A12" s="7" t="inlineStr">
        <is>
          <t>Light Blue (#DCE6F1)</t>
        </is>
      </c>
      <c r="B12" s="8" t="inlineStr">
        <is>
          <t>Student Input Cells</t>
        </is>
      </c>
      <c r="C12" s="5" t="inlineStr">
        <is>
          <t>Column H in Quiz Tab — Protected with Data Validation dropdowns (A, B, C, D, E).</t>
        </is>
      </c>
    </row>
    <row r="13">
      <c r="A13" s="9" t="inlineStr">
        <is>
          <t>Light Green (#E2EFDA)</t>
        </is>
      </c>
      <c r="B13" s="8" t="inlineStr">
        <is>
          <t>Computed Formula Cells</t>
        </is>
      </c>
      <c r="C13" s="5" t="inlineStr">
        <is>
          <t>Automated Scorecard (Rows 4-6) &amp; Real-Time Grade evaluation (Column I).</t>
        </is>
      </c>
    </row>
    <row r="14">
      <c r="A14" s="10" t="inlineStr">
        <is>
          <t>Zebra Gray (#F2F2F2)</t>
        </is>
      </c>
      <c r="B14" s="8" t="inlineStr">
        <is>
          <t>Alternate Data Rows</t>
        </is>
      </c>
      <c r="C14" s="5" t="inlineStr">
        <is>
          <t>Applied across alternating rows for optical readability across wide tables.</t>
        </is>
      </c>
    </row>
    <row r="15">
      <c r="A15" s="11" t="inlineStr">
        <is>
          <t>Dark Navy (#2F5496)</t>
        </is>
      </c>
      <c r="B15" s="8" t="inlineStr">
        <is>
          <t>Header Banners &amp; Totals</t>
        </is>
      </c>
      <c r="C15" s="5" t="inlineStr">
        <is>
          <t>Main section title banners and total scorecard highlights.</t>
        </is>
      </c>
    </row>
  </sheetData>
  <mergeCells count="4">
    <mergeCell ref="A11:G11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22" customWidth="1" min="9" max="9"/>
  </cols>
  <sheetData>
    <row r="1">
      <c r="A1" s="1" t="inlineStr">
        <is>
          <t>SURGERY (FP-2) INTERACTIVE 30-QUESTION CLINICAL QUIZ</t>
        </is>
      </c>
    </row>
    <row r="3">
      <c r="A3" s="3" t="inlineStr">
        <is>
          <t>AUTOMATED SCORECARD &amp; PERFORMANCE SUMMARY</t>
        </is>
      </c>
    </row>
    <row r="4">
      <c r="A4" s="12" t="inlineStr">
        <is>
          <t>Questions Attempted:</t>
        </is>
      </c>
      <c r="B4" s="9">
        <f>COUNTA(H9:H38)</f>
        <v/>
      </c>
    </row>
    <row r="5">
      <c r="A5" s="12" t="inlineStr">
        <is>
          <t>Correct Answers:</t>
        </is>
      </c>
      <c r="B5" s="9">
        <f>COUNTIF(I9:I38, "*Correct*")</f>
        <v/>
      </c>
    </row>
    <row r="6">
      <c r="A6" s="12" t="inlineStr">
        <is>
          <t>Overall Grade %:</t>
        </is>
      </c>
      <c r="B6" s="13">
        <f>IF(B4=0, 0, B5/30)</f>
        <v/>
      </c>
    </row>
    <row r="8">
      <c r="A8" s="4" t="inlineStr">
        <is>
          <t>Q#</t>
        </is>
      </c>
      <c r="B8" s="4" t="inlineStr">
        <is>
          <t>Clinical Case Scenario &amp; Question Prompt</t>
        </is>
      </c>
      <c r="C8" s="4" t="inlineStr">
        <is>
          <t>Option A</t>
        </is>
      </c>
      <c r="D8" s="4" t="inlineStr">
        <is>
          <t>Option B</t>
        </is>
      </c>
      <c r="E8" s="4" t="inlineStr">
        <is>
          <t>Option C</t>
        </is>
      </c>
      <c r="F8" s="4" t="inlineStr">
        <is>
          <t>Option D</t>
        </is>
      </c>
      <c r="G8" s="4" t="inlineStr">
        <is>
          <t>Option E</t>
        </is>
      </c>
      <c r="H8" s="4" t="inlineStr">
        <is>
          <t>Your Answer</t>
        </is>
      </c>
      <c r="I8" s="4" t="inlineStr">
        <is>
          <t>Real-Time Grade</t>
        </is>
      </c>
    </row>
    <row r="9">
      <c r="A9" s="14" t="n">
        <v>1</v>
      </c>
      <c r="B9" s="15" t="inlineStr">
        <is>
          <t>A 34-year-old male presents with fresh blood vomiting x2 (amount ~1L). Vital signs show BP 110/70 mmHg and HR 115/min. Which fluid is most appropriate to expand circulatory volume prior to blood delivery?</t>
        </is>
      </c>
      <c r="C9" s="15" t="inlineStr">
        <is>
          <t>Packed cell</t>
        </is>
      </c>
      <c r="D9" s="15" t="inlineStr">
        <is>
          <t>Fresh Frozen Plasma</t>
        </is>
      </c>
      <c r="E9" s="15" t="inlineStr">
        <is>
          <t>Cryoprecipitate</t>
        </is>
      </c>
      <c r="F9" s="15" t="inlineStr">
        <is>
          <t>Gelofusine</t>
        </is>
      </c>
      <c r="G9" s="15" t="inlineStr">
        <is>
          <t>25% Human Albumin</t>
        </is>
      </c>
      <c r="H9" s="16" t="inlineStr"/>
      <c r="I9" s="17">
        <f>IF(ISBLANK(H9), "", IF(H9='Answer Key &amp; Explanations'!C3, "✅ Correct", "❌ Incorrect (See Key)"))</f>
        <v/>
      </c>
    </row>
    <row r="10">
      <c r="A10" s="18" t="n">
        <v>2</v>
      </c>
      <c r="B10" s="19" t="inlineStr">
        <is>
          <t>How is Cerebral Perfusion Pressure (CPP) strictly defined in neurotrauma management?</t>
        </is>
      </c>
      <c r="C10" s="19" t="inlineStr">
        <is>
          <t>Venous pressure minus intracranial pressure</t>
        </is>
      </c>
      <c r="D10" s="19" t="inlineStr">
        <is>
          <t>Systolic BP minus diastolic BP</t>
        </is>
      </c>
      <c r="E10" s="19" t="inlineStr">
        <is>
          <t>Systolic BP minus venous pressure</t>
        </is>
      </c>
      <c r="F10" s="19" t="inlineStr">
        <is>
          <t>Mean arterial BP minus venous pressure</t>
        </is>
      </c>
      <c r="G10" s="19" t="inlineStr">
        <is>
          <t>Mean arterial blood pressure minus intracranial pressure</t>
        </is>
      </c>
      <c r="H10" s="16" t="inlineStr"/>
      <c r="I10" s="17">
        <f>IF(ISBLANK(H10), "", IF(H10='Answer Key &amp; Explanations'!C4, "✅ Correct", "❌ Incorrect (See Key)"))</f>
        <v/>
      </c>
    </row>
    <row r="11">
      <c r="A11" s="14" t="n">
        <v>3</v>
      </c>
      <c r="B11" s="15" t="inlineStr">
        <is>
          <t>Which of the following is a definitive, immediate indication for major lower limb amputation?</t>
        </is>
      </c>
      <c r="C11" s="15" t="inlineStr">
        <is>
          <t>Rest pain</t>
        </is>
      </c>
      <c r="D11" s="15" t="inlineStr">
        <is>
          <t>Wet gangrene</t>
        </is>
      </c>
      <c r="E11" s="15" t="inlineStr">
        <is>
          <t>Spreading cellulitis</t>
        </is>
      </c>
      <c r="F11" s="15" t="inlineStr">
        <is>
          <t>Joint contracture</t>
        </is>
      </c>
      <c r="G11" s="15" t="inlineStr">
        <is>
          <t>Painless useful limb</t>
        </is>
      </c>
      <c r="H11" s="16" t="inlineStr"/>
      <c r="I11" s="17">
        <f>IF(ISBLANK(H11), "", IF(H11='Answer Key &amp; Explanations'!C5, "✅ Correct", "❌ Incorrect (See Key)"))</f>
        <v/>
      </c>
    </row>
    <row r="12">
      <c r="A12" s="18" t="n">
        <v>4</v>
      </c>
      <c r="B12" s="19" t="inlineStr">
        <is>
          <t>Which statement regarding acute burn evaluation and depth is TRUE?</t>
        </is>
      </c>
      <c r="C12" s="19" t="inlineStr">
        <is>
          <t>Deep dermal burns heal within 2 weeks without surgery</t>
        </is>
      </c>
      <c r="D12" s="19" t="inlineStr">
        <is>
          <t>Burn depth, % TBSA, and smoke inhalation are key parameters in burn assessment</t>
        </is>
      </c>
      <c r="E12" s="19" t="inlineStr">
        <is>
          <t>Capillary refill is absent in superficial burns</t>
        </is>
      </c>
      <c r="F12" s="19" t="inlineStr">
        <is>
          <t>Alkalis usually result in superficial thickness burns</t>
        </is>
      </c>
      <c r="G12" s="19" t="inlineStr">
        <is>
          <t>Fat burns are deeper than electrical contact burns</t>
        </is>
      </c>
      <c r="H12" s="16" t="inlineStr"/>
      <c r="I12" s="17">
        <f>IF(ISBLANK(H12), "", IF(H12='Answer Key &amp; Explanations'!C6, "✅ Correct", "❌ Incorrect (See Key)"))</f>
        <v/>
      </c>
    </row>
    <row r="13">
      <c r="A13" s="14" t="n">
        <v>5</v>
      </c>
      <c r="B13" s="15" t="inlineStr">
        <is>
          <t>Regarding the clinical features of gastric cancer, which statement is FALSE?</t>
        </is>
      </c>
      <c r="C13" s="15" t="inlineStr">
        <is>
          <t>May present with a hard palpable left supraclavicular node</t>
        </is>
      </c>
      <c r="D13" s="15" t="inlineStr">
        <is>
          <t>Should be given empirical palliative treatment with proton-pump inhibitor</t>
        </is>
      </c>
      <c r="E13" s="15" t="inlineStr">
        <is>
          <t>May simulate features of benign gastric ulcer</t>
        </is>
      </c>
      <c r="F13" s="15" t="inlineStr">
        <is>
          <t>Requires gastroscopic examination even when barium meal is normal</t>
        </is>
      </c>
      <c r="G13" s="15" t="inlineStr">
        <is>
          <t>Requires investigation by barium meal examination</t>
        </is>
      </c>
      <c r="H13" s="16" t="inlineStr"/>
      <c r="I13" s="17">
        <f>IF(ISBLANK(H13), "", IF(H13='Answer Key &amp; Explanations'!C7, "✅ Correct", "❌ Incorrect (See Key)"))</f>
        <v/>
      </c>
    </row>
    <row r="14">
      <c r="A14" s="18" t="n">
        <v>6</v>
      </c>
      <c r="B14" s="19" t="inlineStr">
        <is>
          <t>A 67-year-old man presents with recurrent terminal hematuria, fevers, and urethral purulent discharge. On examination, the prostate is swollen and tender. What is the most likely diagnosis?</t>
        </is>
      </c>
      <c r="C14" s="19" t="inlineStr">
        <is>
          <t>Nephritis</t>
        </is>
      </c>
      <c r="D14" s="19" t="inlineStr">
        <is>
          <t>Cystitis</t>
        </is>
      </c>
      <c r="E14" s="19" t="inlineStr">
        <is>
          <t>Benign Prostatic Hyperplasia</t>
        </is>
      </c>
      <c r="F14" s="19" t="inlineStr">
        <is>
          <t>Prostate cancer</t>
        </is>
      </c>
      <c r="G14" s="19" t="inlineStr">
        <is>
          <t>Prostatitis</t>
        </is>
      </c>
      <c r="H14" s="16" t="inlineStr"/>
      <c r="I14" s="17">
        <f>IF(ISBLANK(H14), "", IF(H14='Answer Key &amp; Explanations'!C8, "✅ Correct", "❌ Incorrect (See Key)"))</f>
        <v/>
      </c>
    </row>
    <row r="15">
      <c r="A15" s="14" t="n">
        <v>7</v>
      </c>
      <c r="B15" s="15" t="inlineStr">
        <is>
          <t>According to NICE guidelines, CT head scan is indicated within 8 hours following mild head injury for patients with which feature?</t>
        </is>
      </c>
      <c r="C15" s="15" t="inlineStr">
        <is>
          <t>Loss of consciousness at time of injury</t>
        </is>
      </c>
      <c r="D15" s="15" t="inlineStr">
        <is>
          <t>Low energy mechanism of injury</t>
        </is>
      </c>
      <c r="E15" s="15" t="inlineStr">
        <is>
          <t>Age over 65 or presence of a clotting disorder</t>
        </is>
      </c>
      <c r="F15" s="15" t="inlineStr">
        <is>
          <t>Single episode of vomiting</t>
        </is>
      </c>
      <c r="G15" s="15" t="inlineStr">
        <is>
          <t>Ongoing mild headache</t>
        </is>
      </c>
      <c r="H15" s="16" t="inlineStr"/>
      <c r="I15" s="17">
        <f>IF(ISBLANK(H15), "", IF(H15='Answer Key &amp; Explanations'!C9, "✅ Correct", "❌ Incorrect (See Key)"))</f>
        <v/>
      </c>
    </row>
    <row r="16">
      <c r="A16" s="18" t="n">
        <v>8</v>
      </c>
      <c r="B16" s="19" t="inlineStr">
        <is>
          <t>Which of the following clinical signs is NOT evidence of a basal skull fracture?</t>
        </is>
      </c>
      <c r="C16" s="19" t="inlineStr">
        <is>
          <t>Battle's sign</t>
        </is>
      </c>
      <c r="D16" s="19" t="inlineStr">
        <is>
          <t>Periorbital bruising (Raccoon eyes)</t>
        </is>
      </c>
      <c r="E16" s="19" t="inlineStr">
        <is>
          <t>Unequal pupils (Anisocoria)</t>
        </is>
      </c>
      <c r="F16" s="19" t="inlineStr">
        <is>
          <t>CSF rhinorrhoea</t>
        </is>
      </c>
      <c r="G16" s="19" t="inlineStr">
        <is>
          <t>CSF otorrhoea</t>
        </is>
      </c>
      <c r="H16" s="16" t="inlineStr"/>
      <c r="I16" s="17">
        <f>IF(ISBLANK(H16), "", IF(H16='Answer Key &amp; Explanations'!C10, "✅ Correct", "❌ Incorrect (See Key)"))</f>
        <v/>
      </c>
    </row>
    <row r="17">
      <c r="A17" s="14" t="n">
        <v>9</v>
      </c>
      <c r="B17" s="15" t="inlineStr">
        <is>
          <t>Which complication is specifically defined as an irreducible hernia where the blood supply to contents is seriously impaired?</t>
        </is>
      </c>
      <c r="C17" s="15" t="inlineStr">
        <is>
          <t>Strangulated Hernia</t>
        </is>
      </c>
      <c r="D17" s="15" t="inlineStr">
        <is>
          <t>Obstructed Hernia</t>
        </is>
      </c>
      <c r="E17" s="15" t="inlineStr">
        <is>
          <t>Richter's Hernia</t>
        </is>
      </c>
      <c r="F17" s="15" t="inlineStr">
        <is>
          <t>Inflamed Hernia</t>
        </is>
      </c>
      <c r="G17" s="15" t="inlineStr">
        <is>
          <t>Incarcerated Hernia</t>
        </is>
      </c>
      <c r="H17" s="16" t="inlineStr"/>
      <c r="I17" s="17">
        <f>IF(ISBLANK(H17), "", IF(H17='Answer Key &amp; Explanations'!C11, "✅ Correct", "❌ Incorrect (See Key)"))</f>
        <v/>
      </c>
    </row>
    <row r="18">
      <c r="A18" s="18" t="n">
        <v>10</v>
      </c>
      <c r="B18" s="19" t="inlineStr">
        <is>
          <t>A patient is diagnosed with adenocarcinoma at the hepatic flexure. What is the standard radical surgical resection required?</t>
        </is>
      </c>
      <c r="C18" s="19" t="inlineStr">
        <is>
          <t>Extended Right hemi-colectomy</t>
        </is>
      </c>
      <c r="D18" s="19" t="inlineStr">
        <is>
          <t>Right hemi-colectomy</t>
        </is>
      </c>
      <c r="E18" s="19" t="inlineStr">
        <is>
          <t>Sigmoid Colectomy</t>
        </is>
      </c>
      <c r="F18" s="19" t="inlineStr">
        <is>
          <t>Transverse colectomy</t>
        </is>
      </c>
      <c r="G18" s="19" t="inlineStr">
        <is>
          <t>Left hemi-colectomy</t>
        </is>
      </c>
      <c r="H18" s="16" t="inlineStr"/>
      <c r="I18" s="17">
        <f>IF(ISBLANK(H18), "", IF(H18='Answer Key &amp; Explanations'!C12, "✅ Correct", "❌ Incorrect (See Key)"))</f>
        <v/>
      </c>
    </row>
    <row r="19">
      <c r="A19" s="14" t="n">
        <v>11</v>
      </c>
      <c r="B19" s="15" t="inlineStr">
        <is>
          <t>Which compensatory mechanism initially maintains normal ICP in the presence of an expanding intracranial mass in adults?</t>
        </is>
      </c>
      <c r="C19" s="15" t="inlineStr">
        <is>
          <t>Increase in CSF production</t>
        </is>
      </c>
      <c r="D19" s="15" t="inlineStr">
        <is>
          <t>Sunsetting eyes phenomenon</t>
        </is>
      </c>
      <c r="E19" s="15" t="inlineStr">
        <is>
          <t>Reduction of brain tissue volume</t>
        </is>
      </c>
      <c r="F19" s="15" t="inlineStr">
        <is>
          <t>Reduction in venous blood volume and CSF</t>
        </is>
      </c>
      <c r="G19" s="15" t="inlineStr">
        <is>
          <t>Increase in rigid skull volume</t>
        </is>
      </c>
      <c r="H19" s="16" t="inlineStr"/>
      <c r="I19" s="17">
        <f>IF(ISBLANK(H19), "", IF(H19='Answer Key &amp; Explanations'!C13, "✅ Correct", "❌ Incorrect (See Key)"))</f>
        <v/>
      </c>
    </row>
    <row r="20">
      <c r="A20" s="18" t="n">
        <v>12</v>
      </c>
      <c r="B20" s="19" t="inlineStr">
        <is>
          <t>Which of the following is NOT a systemic cause of secondary brain injury?</t>
        </is>
      </c>
      <c r="C20" s="19" t="inlineStr">
        <is>
          <t>Pyrexia</t>
        </is>
      </c>
      <c r="D20" s="19" t="inlineStr">
        <is>
          <t>Hypotension</t>
        </is>
      </c>
      <c r="E20" s="19" t="inlineStr">
        <is>
          <t>Raised Intracranial Pressure</t>
        </is>
      </c>
      <c r="F20" s="19" t="inlineStr">
        <is>
          <t>Seizure</t>
        </is>
      </c>
      <c r="G20" s="19" t="inlineStr">
        <is>
          <t>Hypoxia</t>
        </is>
      </c>
      <c r="H20" s="16" t="inlineStr"/>
      <c r="I20" s="17">
        <f>IF(ISBLANK(H20), "", IF(H20='Answer Key &amp; Explanations'!C14, "✅ Correct", "❌ Incorrect (See Key)"))</f>
        <v/>
      </c>
    </row>
    <row r="21">
      <c r="A21" s="14" t="n">
        <v>13</v>
      </c>
      <c r="B21" s="15" t="inlineStr">
        <is>
          <t>Which of the following is NOT a predisposing factor for abdominal wall hernia?</t>
        </is>
      </c>
      <c r="C21" s="15" t="inlineStr">
        <is>
          <t>Chronic obstructive pulmonary disease</t>
        </is>
      </c>
      <c r="D21" s="15" t="inlineStr">
        <is>
          <t>Obesity</t>
        </is>
      </c>
      <c r="E21" s="15" t="inlineStr">
        <is>
          <t>Pregnancy</t>
        </is>
      </c>
      <c r="F21" s="15" t="inlineStr">
        <is>
          <t>Peritoneal dialysis</t>
        </is>
      </c>
      <c r="G21" s="15" t="inlineStr">
        <is>
          <t>Urinary stones</t>
        </is>
      </c>
      <c r="H21" s="16" t="inlineStr"/>
      <c r="I21" s="17">
        <f>IF(ISBLANK(H21), "", IF(H21='Answer Key &amp; Explanations'!C15, "✅ Correct", "❌ Incorrect (See Key)"))</f>
        <v/>
      </c>
    </row>
    <row r="22">
      <c r="A22" s="18" t="n">
        <v>14</v>
      </c>
      <c r="B22" s="19" t="inlineStr">
        <is>
          <t>Which blood test is the most sensitive and specific for the diagnosis of acute pancreatitis?</t>
        </is>
      </c>
      <c r="C22" s="19" t="inlineStr">
        <is>
          <t>Trypsin</t>
        </is>
      </c>
      <c r="D22" s="19" t="inlineStr">
        <is>
          <t>C peptide</t>
        </is>
      </c>
      <c r="E22" s="19" t="inlineStr">
        <is>
          <t>Amylase</t>
        </is>
      </c>
      <c r="F22" s="19" t="inlineStr">
        <is>
          <t>Lipase</t>
        </is>
      </c>
      <c r="G22" s="19" t="inlineStr">
        <is>
          <t>Trypsinogen</t>
        </is>
      </c>
      <c r="H22" s="16" t="inlineStr"/>
      <c r="I22" s="17">
        <f>IF(ISBLANK(H22), "", IF(H22='Answer Key &amp; Explanations'!C16, "✅ Correct", "❌ Incorrect (See Key)"))</f>
        <v/>
      </c>
    </row>
    <row r="23">
      <c r="A23" s="14" t="n">
        <v>15</v>
      </c>
      <c r="B23" s="15" t="inlineStr">
        <is>
          <t>Which of the following statements regarding Acute Retention of Urine (AROU) is TRUE?</t>
        </is>
      </c>
      <c r="C23" s="15" t="inlineStr">
        <is>
          <t>BPH is an uncommon cause of AROU</t>
        </is>
      </c>
      <c r="D23" s="15" t="inlineStr">
        <is>
          <t>Acute retention occurs mostly in females</t>
        </is>
      </c>
      <c r="E23" s="15" t="inlineStr">
        <is>
          <t>AROU does not need urgent treatment</t>
        </is>
      </c>
      <c r="F23" s="15" t="inlineStr">
        <is>
          <t>AROU is a urological emergency</t>
        </is>
      </c>
      <c r="G23" s="15" t="inlineStr">
        <is>
          <t>AROU is rare in clinical practice</t>
        </is>
      </c>
      <c r="H23" s="16" t="inlineStr"/>
      <c r="I23" s="17">
        <f>IF(ISBLANK(H23), "", IF(H23='Answer Key &amp; Explanations'!C17, "✅ Correct", "❌ Incorrect (See Key)"))</f>
        <v/>
      </c>
    </row>
    <row r="24">
      <c r="A24" s="18" t="n">
        <v>16</v>
      </c>
      <c r="B24" s="19" t="inlineStr">
        <is>
          <t>Which local ecchymosis sign occurs in severe acute pancreatitis due to retroperitoneal hemorrhage?</t>
        </is>
      </c>
      <c r="C24" s="19" t="inlineStr">
        <is>
          <t>Boas' sign</t>
        </is>
      </c>
      <c r="D24" s="19" t="inlineStr">
        <is>
          <t>Courvoisier's sign</t>
        </is>
      </c>
      <c r="E24" s="19" t="inlineStr">
        <is>
          <t>Trousseau's sign</t>
        </is>
      </c>
      <c r="F24" s="19" t="inlineStr">
        <is>
          <t>Cullen's sign</t>
        </is>
      </c>
      <c r="G24" s="19" t="inlineStr">
        <is>
          <t>Murphy's sign</t>
        </is>
      </c>
      <c r="H24" s="16" t="inlineStr"/>
      <c r="I24" s="17">
        <f>IF(ISBLANK(H24), "", IF(H24='Answer Key &amp; Explanations'!C18, "✅ Correct", "❌ Incorrect (See Key)"))</f>
        <v/>
      </c>
    </row>
    <row r="25">
      <c r="A25" s="14" t="n">
        <v>17</v>
      </c>
      <c r="B25" s="15" t="inlineStr">
        <is>
          <t>An elderly patient presents with strangulated prolapsed hemorrhoids. Which hyperosmolar local application reduces tissue edema conservatively?</t>
        </is>
      </c>
      <c r="C25" s="15" t="inlineStr">
        <is>
          <t>5% Phenol Injection</t>
        </is>
      </c>
      <c r="D25" s="15" t="inlineStr">
        <is>
          <t>Antibiotic Cream</t>
        </is>
      </c>
      <c r="E25" s="15" t="inlineStr">
        <is>
          <t>Magnesium Sulfate (MgSO4) and Glycerine paste</t>
        </is>
      </c>
      <c r="F25" s="15" t="inlineStr">
        <is>
          <t>Eusol dressing</t>
        </is>
      </c>
      <c r="G25" s="15" t="inlineStr">
        <is>
          <t>Barron's rubber bands</t>
        </is>
      </c>
      <c r="H25" s="16" t="inlineStr"/>
      <c r="I25" s="17">
        <f>IF(ISBLANK(H25), "", IF(H25='Answer Key &amp; Explanations'!C19, "✅ Correct", "❌ Incorrect (See Key)"))</f>
        <v/>
      </c>
    </row>
    <row r="26">
      <c r="A26" s="18" t="n">
        <v>18</v>
      </c>
      <c r="B26" s="19" t="inlineStr">
        <is>
          <t>Which statement regarding the Glasgow Coma Scale (GCS) is TRUE?</t>
        </is>
      </c>
      <c r="C26" s="19" t="inlineStr">
        <is>
          <t>Serial assessment of GCS reflects patient improvement or deterioration</t>
        </is>
      </c>
      <c r="D26" s="19" t="inlineStr">
        <is>
          <t>GCS assessment is not useful in neurotrauma</t>
        </is>
      </c>
      <c r="E26" s="19" t="inlineStr">
        <is>
          <t>The maximum score is 12</t>
        </is>
      </c>
      <c r="F26" s="19" t="inlineStr">
        <is>
          <t>The minimum score is 0</t>
        </is>
      </c>
      <c r="G26" s="19" t="inlineStr">
        <is>
          <t>A patient with GCS 10 or less is in coma</t>
        </is>
      </c>
      <c r="H26" s="16" t="inlineStr"/>
      <c r="I26" s="17">
        <f>IF(ISBLANK(H26), "", IF(H26='Answer Key &amp; Explanations'!C20, "✅ Correct", "❌ Incorrect (See Key)"))</f>
        <v/>
      </c>
    </row>
    <row r="27">
      <c r="A27" s="14" t="n">
        <v>19</v>
      </c>
      <c r="B27" s="15" t="inlineStr">
        <is>
          <t>Which intervention is NOT indicated for the acute management of bleeding esophageal varices?</t>
        </is>
      </c>
      <c r="C27" s="15" t="inlineStr">
        <is>
          <t>Porto-systemic disconnection / TIPS</t>
        </is>
      </c>
      <c r="D27" s="15" t="inlineStr">
        <is>
          <t>Rubber Band Ligation</t>
        </is>
      </c>
      <c r="E27" s="15" t="inlineStr">
        <is>
          <t>Sclerotherapy</t>
        </is>
      </c>
      <c r="F27" s="15" t="inlineStr">
        <is>
          <t>Tamponade by Sengstaken-Blakemore tube</t>
        </is>
      </c>
      <c r="G27" s="15" t="inlineStr">
        <is>
          <t>Injection of 5% Phenol in Almond Oil</t>
        </is>
      </c>
      <c r="H27" s="16" t="inlineStr"/>
      <c r="I27" s="17">
        <f>IF(ISBLANK(H27), "", IF(H27='Answer Key &amp; Explanations'!C21, "✅ Correct", "❌ Incorrect (See Key)"))</f>
        <v/>
      </c>
    </row>
    <row r="28">
      <c r="A28" s="18" t="n">
        <v>20</v>
      </c>
      <c r="B28" s="19" t="inlineStr">
        <is>
          <t>Which of the following clinical features is NOT a typical early feature of acute mechanical intestinal obstruction?</t>
        </is>
      </c>
      <c r="C28" s="19" t="inlineStr">
        <is>
          <t>Vomiting</t>
        </is>
      </c>
      <c r="D28" s="19" t="inlineStr">
        <is>
          <t>Constipation</t>
        </is>
      </c>
      <c r="E28" s="19" t="inlineStr">
        <is>
          <t>Abdominal Distension</t>
        </is>
      </c>
      <c r="F28" s="19" t="inlineStr">
        <is>
          <t>Abdominal pain</t>
        </is>
      </c>
      <c r="G28" s="19" t="inlineStr">
        <is>
          <t>Fever</t>
        </is>
      </c>
      <c r="H28" s="16" t="inlineStr"/>
      <c r="I28" s="17">
        <f>IF(ISBLANK(H28), "", IF(H28='Answer Key &amp; Explanations'!C22, "✅ Correct", "❌ Incorrect (See Key)"))</f>
        <v/>
      </c>
    </row>
    <row r="29">
      <c r="A29" s="14" t="n">
        <v>21</v>
      </c>
      <c r="B29" s="15" t="inlineStr">
        <is>
          <t>A 25-year-old male presents with a groin swelling lateral to the inferior epigastric artery. What is the diagnosis?</t>
        </is>
      </c>
      <c r="C29" s="15" t="inlineStr">
        <is>
          <t>Femoral Hernia</t>
        </is>
      </c>
      <c r="D29" s="15" t="inlineStr">
        <is>
          <t>Indirect Inguinal Hernia</t>
        </is>
      </c>
      <c r="E29" s="15" t="inlineStr">
        <is>
          <t>Incisional Hernia</t>
        </is>
      </c>
      <c r="F29" s="15" t="inlineStr">
        <is>
          <t>Obturator Hernia</t>
        </is>
      </c>
      <c r="G29" s="15" t="inlineStr">
        <is>
          <t>Direct Inguinal Hernia</t>
        </is>
      </c>
      <c r="H29" s="16" t="inlineStr"/>
      <c r="I29" s="17">
        <f>IF(ISBLANK(H29), "", IF(H29='Answer Key &amp; Explanations'!C23, "✅ Correct", "❌ Incorrect (See Key)"))</f>
        <v/>
      </c>
    </row>
    <row r="30">
      <c r="A30" s="18" t="n">
        <v>22</v>
      </c>
      <c r="B30" s="19" t="inlineStr">
        <is>
          <t>A patient has a stoma in the Right Iliac Fossa (RIF) that appears spouted with liquid effluent. What type of stoma is this?</t>
        </is>
      </c>
      <c r="C30" s="19" t="inlineStr">
        <is>
          <t>Ileostomy</t>
        </is>
      </c>
      <c r="D30" s="19" t="inlineStr">
        <is>
          <t>Loop Colostomy</t>
        </is>
      </c>
      <c r="E30" s="19" t="inlineStr">
        <is>
          <t>Gastrostomy</t>
        </is>
      </c>
      <c r="F30" s="19" t="inlineStr">
        <is>
          <t>Transverse Colostomy</t>
        </is>
      </c>
      <c r="G30" s="19" t="inlineStr">
        <is>
          <t>Sigmoid colostomy</t>
        </is>
      </c>
      <c r="H30" s="16" t="inlineStr"/>
      <c r="I30" s="17">
        <f>IF(ISBLANK(H30), "", IF(H30='Answer Key &amp; Explanations'!C24, "✅ Correct", "❌ Incorrect (See Key)"))</f>
        <v/>
      </c>
    </row>
    <row r="31">
      <c r="A31" s="14" t="n">
        <v>23</v>
      </c>
      <c r="B31" s="15" t="inlineStr">
        <is>
          <t>A resected rectal specimen breaches muscularis propria with positive local pararectal nodes but negative main vessel origin nodes. What is the Dukes stage?</t>
        </is>
      </c>
      <c r="C31" s="15" t="inlineStr">
        <is>
          <t>Duke Stage B</t>
        </is>
      </c>
      <c r="D31" s="15" t="inlineStr">
        <is>
          <t>Duke Stage C2</t>
        </is>
      </c>
      <c r="E31" s="15" t="inlineStr">
        <is>
          <t>Duke Stage D</t>
        </is>
      </c>
      <c r="F31" s="15" t="inlineStr">
        <is>
          <t>Duke Stage C1</t>
        </is>
      </c>
      <c r="G31" s="15" t="inlineStr">
        <is>
          <t>Duke Stage A</t>
        </is>
      </c>
      <c r="H31" s="16" t="inlineStr"/>
      <c r="I31" s="17">
        <f>IF(ISBLANK(H31), "", IF(H31='Answer Key &amp; Explanations'!C25, "✅ Correct", "❌ Incorrect (See Key)"))</f>
        <v/>
      </c>
    </row>
    <row r="32">
      <c r="A32" s="18" t="n">
        <v>24</v>
      </c>
      <c r="B32" s="19" t="inlineStr">
        <is>
          <t>A 68-year-old patient presents with a hard, irregular fixed mass in the Right Iliac Fossa. What is a common complication specific to this tumor location?</t>
        </is>
      </c>
      <c r="C32" s="19" t="inlineStr">
        <is>
          <t>Iron Deficiency Anaemia</t>
        </is>
      </c>
      <c r="D32" s="19" t="inlineStr">
        <is>
          <t>Rectal Shelf of Blumer</t>
        </is>
      </c>
      <c r="E32" s="19" t="inlineStr">
        <is>
          <t>Alternating Diarrhea and Constipation</t>
        </is>
      </c>
      <c r="F32" s="19" t="inlineStr">
        <is>
          <t>Tenesmus</t>
        </is>
      </c>
      <c r="G32" s="19" t="inlineStr">
        <is>
          <t>Bladder Symptoms</t>
        </is>
      </c>
      <c r="H32" s="16" t="inlineStr"/>
      <c r="I32" s="17">
        <f>IF(ISBLANK(H32), "", IF(H32='Answer Key &amp; Explanations'!C26, "✅ Correct", "❌ Incorrect (See Key)"))</f>
        <v/>
      </c>
    </row>
    <row r="33">
      <c r="A33" s="14" t="n">
        <v>25</v>
      </c>
      <c r="B33" s="15" t="inlineStr">
        <is>
          <t>What is the imaging modality of choice for a 20-year-old lady presenting with a breast lump?</t>
        </is>
      </c>
      <c r="C33" s="15" t="inlineStr">
        <is>
          <t>Ultrasound breasts</t>
        </is>
      </c>
      <c r="D33" s="15" t="inlineStr">
        <is>
          <t>Mammogram</t>
        </is>
      </c>
      <c r="E33" s="15" t="inlineStr">
        <is>
          <t>Ductogram</t>
        </is>
      </c>
      <c r="F33" s="15" t="inlineStr">
        <is>
          <t>MRI</t>
        </is>
      </c>
      <c r="G33" s="15" t="inlineStr">
        <is>
          <t>Tomosynthesis</t>
        </is>
      </c>
      <c r="H33" s="16" t="inlineStr"/>
      <c r="I33" s="17">
        <f>IF(ISBLANK(H33), "", IF(H33='Answer Key &amp; Explanations'!C27, "✅ Correct", "❌ Incorrect (See Key)"))</f>
        <v/>
      </c>
    </row>
    <row r="34">
      <c r="A34" s="18" t="n">
        <v>26</v>
      </c>
      <c r="B34" s="19" t="inlineStr">
        <is>
          <t>Which statement regarding benign breast lesions is TRUE?</t>
        </is>
      </c>
      <c r="C34" s="19" t="inlineStr">
        <is>
          <t>Giant fibroadenoma is diagnosed when size is &gt; 5 cm</t>
        </is>
      </c>
      <c r="D34" s="19" t="inlineStr">
        <is>
          <t>Cyclical mastalgia is caused by fibroadenoma</t>
        </is>
      </c>
      <c r="E34" s="19" t="inlineStr">
        <is>
          <t>Trauma history is present in 100% of fat necrosis cases</t>
        </is>
      </c>
      <c r="F34" s="19" t="inlineStr">
        <is>
          <t>ANDI is common in post-menopausal women</t>
        </is>
      </c>
      <c r="G34" s="19" t="inlineStr">
        <is>
          <t>Simple breast cysts usually require open surgery</t>
        </is>
      </c>
      <c r="H34" s="16" t="inlineStr"/>
      <c r="I34" s="17">
        <f>IF(ISBLANK(H34), "", IF(H34='Answer Key &amp; Explanations'!C28, "✅ Correct", "❌ Incorrect (See Key)"))</f>
        <v/>
      </c>
    </row>
    <row r="35">
      <c r="A35" s="14" t="n">
        <v>27</v>
      </c>
      <c r="B35" s="15" t="inlineStr">
        <is>
          <t>Which of the following is an established hormonal risk factor for breast cancer?</t>
        </is>
      </c>
      <c r="C35" s="15" t="inlineStr">
        <is>
          <t>Early menopause</t>
        </is>
      </c>
      <c r="D35" s="15" t="inlineStr">
        <is>
          <t>Male gender incidence of 5%</t>
        </is>
      </c>
      <c r="E35" s="15" t="inlineStr">
        <is>
          <t>Diet rich in high phytoestrogens</t>
        </is>
      </c>
      <c r="F35" s="15" t="inlineStr">
        <is>
          <t>HRT use under 1 year</t>
        </is>
      </c>
      <c r="G35" s="15" t="inlineStr">
        <is>
          <t>Nulliparity</t>
        </is>
      </c>
      <c r="H35" s="16" t="inlineStr"/>
      <c r="I35" s="17">
        <f>IF(ISBLANK(H35), "", IF(H35='Answer Key &amp; Explanations'!C29, "✅ Correct", "❌ Incorrect (See Key)"))</f>
        <v/>
      </c>
    </row>
    <row r="36">
      <c r="A36" s="18" t="n">
        <v>28</v>
      </c>
      <c r="B36" s="19" t="inlineStr">
        <is>
          <t>Which of the following conditions does NOT cause upper gastrointestinal hemorrhage?</t>
        </is>
      </c>
      <c r="C36" s="19" t="inlineStr">
        <is>
          <t>Mallory-Weiss tear</t>
        </is>
      </c>
      <c r="D36" s="19" t="inlineStr">
        <is>
          <t>Gastric erosions</t>
        </is>
      </c>
      <c r="E36" s="19" t="inlineStr">
        <is>
          <t>Bleeding duodenal ulcer</t>
        </is>
      </c>
      <c r="F36" s="19" t="inlineStr">
        <is>
          <t>Achalasia Cardia</t>
        </is>
      </c>
      <c r="G36" s="19" t="inlineStr">
        <is>
          <t>Ruptured esophageal varices</t>
        </is>
      </c>
      <c r="H36" s="16" t="inlineStr"/>
      <c r="I36" s="17">
        <f>IF(ISBLANK(H36), "", IF(H36='Answer Key &amp; Explanations'!C30, "✅ Correct", "❌ Incorrect (See Key)"))</f>
        <v/>
      </c>
    </row>
    <row r="37">
      <c r="A37" s="14" t="n">
        <v>29</v>
      </c>
      <c r="B37" s="15" t="inlineStr">
        <is>
          <t>Which of the following is NOT a risk factor for gastric carcinoma?</t>
        </is>
      </c>
      <c r="C37" s="15" t="inlineStr">
        <is>
          <t>Lower socio-economic class</t>
        </is>
      </c>
      <c r="D37" s="15" t="inlineStr">
        <is>
          <t>Gastric atrophy</t>
        </is>
      </c>
      <c r="E37" s="15" t="inlineStr">
        <is>
          <t>Pernicious anemia</t>
        </is>
      </c>
      <c r="F37" s="15" t="inlineStr">
        <is>
          <t>Previous DU perforation</t>
        </is>
      </c>
      <c r="G37" s="15" t="inlineStr">
        <is>
          <t>H. pylori infection</t>
        </is>
      </c>
      <c r="H37" s="16" t="inlineStr"/>
      <c r="I37" s="17">
        <f>IF(ISBLANK(H37), "", IF(H37='Answer Key &amp; Explanations'!C31, "✅ Correct", "❌ Incorrect (See Key)"))</f>
        <v/>
      </c>
    </row>
    <row r="38">
      <c r="A38" s="18" t="n">
        <v>30</v>
      </c>
      <c r="B38" s="19" t="inlineStr">
        <is>
          <t>Which life-threatening thoracic condition is routinely identified during the Secondary Survey rather than the ATLS Primary Survey?</t>
        </is>
      </c>
      <c r="C38" s="19" t="inlineStr">
        <is>
          <t>Flail chest</t>
        </is>
      </c>
      <c r="D38" s="19" t="inlineStr">
        <is>
          <t>Pulmonary contusion</t>
        </is>
      </c>
      <c r="E38" s="19" t="inlineStr">
        <is>
          <t>Tension pneumothorax</t>
        </is>
      </c>
      <c r="F38" s="19" t="inlineStr">
        <is>
          <t>Cardiac tamponade</t>
        </is>
      </c>
      <c r="G38" s="19" t="inlineStr">
        <is>
          <t>Massive hemothorax</t>
        </is>
      </c>
      <c r="H38" s="16" t="inlineStr"/>
      <c r="I38" s="17">
        <f>IF(ISBLANK(H38), "", IF(H38='Answer Key &amp; Explanations'!C32, "✅ Correct", "❌ Incorrect (See Key)"))</f>
        <v/>
      </c>
    </row>
  </sheetData>
  <mergeCells count="2">
    <mergeCell ref="A1:I1"/>
    <mergeCell ref="A3:I3"/>
  </mergeCells>
  <dataValidations count="1">
    <dataValidation sqref="H9 H10 H11 H12 H13 H14 H15 H16 H17 H18 H19 H20 H21 H22 H23 H24 H25 H26 H27 H28 H29 H30 H31 H32 H33 H34 H35 H36 H37 H38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65" customWidth="1" min="4" max="4"/>
    <col width="30" customWidth="1" min="5" max="5"/>
  </cols>
  <sheetData>
    <row r="1">
      <c r="A1" s="1" t="inlineStr">
        <is>
          <t>SURGERY (FP-2) ANSWER KEY &amp; CLINICAL EXPLANATIONS</t>
        </is>
      </c>
    </row>
    <row r="2">
      <c r="A2" s="4" t="inlineStr">
        <is>
          <t>Q#</t>
        </is>
      </c>
      <c r="B2" s="4" t="inlineStr">
        <is>
          <t>Question Topic Summary</t>
        </is>
      </c>
      <c r="C2" s="4" t="inlineStr">
        <is>
          <t>Correct Answer</t>
        </is>
      </c>
      <c r="D2" s="4" t="inlineStr">
        <is>
          <t>Deeply Grounded Clinical Explanation</t>
        </is>
      </c>
      <c r="E2" s="4" t="inlineStr">
        <is>
          <t>Source Reference</t>
        </is>
      </c>
    </row>
    <row r="3">
      <c r="A3" s="18" t="n">
        <v>1</v>
      </c>
      <c r="B3" s="19" t="inlineStr">
        <is>
          <t>A 34-year-old male presents with fresh blood vomiting x2 (am...</t>
        </is>
      </c>
      <c r="C3" s="20" t="inlineStr">
        <is>
          <t>D</t>
        </is>
      </c>
      <c r="D3" s="19" t="inlineStr">
        <is>
          <t>In acute Stage II hemorrhage where crystalloid resuscitation needs supplementation before blood arrives, colloids like Gelofusine remain entirely within the intravascular space, rapidly expanding circulatory volume.</t>
        </is>
      </c>
      <c r="E3" s="19" t="inlineStr">
        <is>
          <t>12. Upper GI Bleeding(M1W6).pdf &amp; Exam Q6</t>
        </is>
      </c>
    </row>
    <row r="4">
      <c r="A4" s="14" t="n">
        <v>2</v>
      </c>
      <c r="B4" s="15" t="inlineStr">
        <is>
          <t>How is Cerebral Perfusion Pressure (CPP) strictly defined in...</t>
        </is>
      </c>
      <c r="C4" s="6" t="inlineStr">
        <is>
          <t>E</t>
        </is>
      </c>
      <c r="D4" s="15" t="inlineStr">
        <is>
          <t>Cerebral Perfusion Pressure is defined by the standard physiological formula: CPP = MAP - ICP.</t>
        </is>
      </c>
      <c r="E4" s="15" t="inlineStr">
        <is>
          <t>21. Head Injury and Increased ICP(M1W8).pdf &amp; Exam Q2</t>
        </is>
      </c>
    </row>
    <row r="5">
      <c r="A5" s="18" t="n">
        <v>3</v>
      </c>
      <c r="B5" s="19" t="inlineStr">
        <is>
          <t>Which of the following is a definitive, immediate indication...</t>
        </is>
      </c>
      <c r="C5" s="20" t="inlineStr">
        <is>
          <t>B</t>
        </is>
      </c>
      <c r="D5" s="19" t="inlineStr">
        <is>
          <t>Wet gangrene represents dead, infected, unsalvageable tissue causing life-threatening sepsis, making urgent amputation mandatory to save the patient's life.</t>
        </is>
      </c>
      <c r="E5" s="19" t="inlineStr">
        <is>
          <t>9. Ischaemic limbs(M1W3).pdf &amp; Exam Q3</t>
        </is>
      </c>
    </row>
    <row r="6">
      <c r="A6" s="14" t="n">
        <v>4</v>
      </c>
      <c r="B6" s="15" t="inlineStr">
        <is>
          <t>Which statement regarding acute burn evaluation and depth is...</t>
        </is>
      </c>
      <c r="C6" s="6" t="inlineStr">
        <is>
          <t>B</t>
        </is>
      </c>
      <c r="D6" s="15" t="inlineStr">
        <is>
          <t>Triage and clinical management of acute burns depend strictly on three core parameters: burn depth (degree), total body surface area (% TBSA), and presence of inhalational injury.</t>
        </is>
      </c>
      <c r="E6" s="15" t="inlineStr">
        <is>
          <t>7. Burns and Scalds(M1W2).pdf &amp; Exam Q4</t>
        </is>
      </c>
    </row>
    <row r="7">
      <c r="A7" s="18" t="n">
        <v>5</v>
      </c>
      <c r="B7" s="19" t="inlineStr">
        <is>
          <t>Regarding the clinical features of gastric cancer, which sta...</t>
        </is>
      </c>
      <c r="C7" s="20" t="inlineStr">
        <is>
          <t>B</t>
        </is>
      </c>
      <c r="D7" s="19" t="inlineStr">
        <is>
          <t>Empirical PPI therapy is false/contraindicated prior to endoscopy in suspected gastric cancer because it alleviates symptoms and masks malignancy, delaying definitive diagnosis.</t>
        </is>
      </c>
      <c r="E7" s="19" t="inlineStr">
        <is>
          <t>15. CA Stomach(M1W6).pdf &amp; Exam Q5</t>
        </is>
      </c>
    </row>
    <row r="8">
      <c r="A8" s="14" t="n">
        <v>6</v>
      </c>
      <c r="B8" s="15" t="inlineStr">
        <is>
          <t>A 67-year-old man presents with recurrent terminal hematuria...</t>
        </is>
      </c>
      <c r="C8" s="6" t="inlineStr">
        <is>
          <t>E</t>
        </is>
      </c>
      <c r="D8" s="15" t="inlineStr">
        <is>
          <t>The triad of terminal hematuria, fever with purulent urethral discharge, and a tender prostate on DRE is diagnostic of acute bacterial prostatitis.</t>
        </is>
      </c>
      <c r="E8" s="15" t="inlineStr">
        <is>
          <t>29. AROU and BPH(M1W12).pdf &amp; Exam Q7</t>
        </is>
      </c>
    </row>
    <row r="9">
      <c r="A9" s="18" t="n">
        <v>7</v>
      </c>
      <c r="B9" s="19" t="inlineStr">
        <is>
          <t>According to NICE guidelines, CT head scan is indicated with...</t>
        </is>
      </c>
      <c r="C9" s="20" t="inlineStr">
        <is>
          <t>C</t>
        </is>
      </c>
      <c r="D9" s="19" t="inlineStr">
        <is>
          <t>NICE head injury guidelines mandate a CT head scan within 8 hours for patients aged &gt; 65 years or those with a coagulopathy/clotting disorder.</t>
        </is>
      </c>
      <c r="E9" s="19" t="inlineStr">
        <is>
          <t>21. Head Injury and Increased ICP(M1W8).pdf &amp; Exam Q8</t>
        </is>
      </c>
    </row>
    <row r="10">
      <c r="A10" s="14" t="n">
        <v>8</v>
      </c>
      <c r="B10" s="15" t="inlineStr">
        <is>
          <t>Which of the following clinical signs is NOT evidence of a b...</t>
        </is>
      </c>
      <c r="C10" s="6" t="inlineStr">
        <is>
          <t>C</t>
        </is>
      </c>
      <c r="D10" s="15" t="inlineStr">
        <is>
          <t>Unequal pupils indicate uncal herniation compressing the 3rd cranial nerve due to raised ICP, whereas Battle's sign, raccoon eyes, and CSF leaks are signs of basal skull fracture.</t>
        </is>
      </c>
      <c r="E10" s="15" t="inlineStr">
        <is>
          <t>43. HEAD INJURY(M2W9).pdf &amp; Exam Q44/Q30</t>
        </is>
      </c>
    </row>
    <row r="11">
      <c r="A11" s="18" t="n">
        <v>9</v>
      </c>
      <c r="B11" s="19" t="inlineStr">
        <is>
          <t>Which complication is specifically defined as an irreducible...</t>
        </is>
      </c>
      <c r="C11" s="20" t="inlineStr">
        <is>
          <t>A</t>
        </is>
      </c>
      <c r="D11" s="19" t="inlineStr">
        <is>
          <t>A strangulated hernia is specifically defined as an irreducible hernia with arterial and venous vascular compromise leading to bowel ischemia and infarction.</t>
        </is>
      </c>
      <c r="E11" s="19" t="inlineStr">
        <is>
          <t>25. Hernia(M1W10).pdf &amp; Exam Q45</t>
        </is>
      </c>
    </row>
    <row r="12">
      <c r="A12" s="14" t="n">
        <v>10</v>
      </c>
      <c r="B12" s="15" t="inlineStr">
        <is>
          <t>A patient is diagnosed with adenocarcinoma at the hepatic fl...</t>
        </is>
      </c>
      <c r="C12" s="6" t="inlineStr">
        <is>
          <t>A</t>
        </is>
      </c>
      <c r="D12" s="15" t="inlineStr">
        <is>
          <t>Tumors at the hepatic flexure require ligation of the ileocolic, right colic, and middle colic arteries, dictating an Extended Right Hemi-colectomy for lymphatic clearance.</t>
        </is>
      </c>
      <c r="E12" s="15" t="inlineStr">
        <is>
          <t>22. Intestinal_obstruction...pdf &amp; Exam Q46</t>
        </is>
      </c>
    </row>
    <row r="13">
      <c r="A13" s="18" t="n">
        <v>11</v>
      </c>
      <c r="B13" s="19" t="inlineStr">
        <is>
          <t>Which compensatory mechanism initially maintains normal ICP ...</t>
        </is>
      </c>
      <c r="C13" s="20" t="inlineStr">
        <is>
          <t>D</t>
        </is>
      </c>
      <c r="D13" s="19" t="inlineStr">
        <is>
          <t>Under the Monro-Kellie doctrine, an expanding mass lesion is initially buffered by displacement of venous blood and cerebrospinal fluid (CSF) out of the cranial vault.</t>
        </is>
      </c>
      <c r="E13" s="19" t="inlineStr">
        <is>
          <t>21. Head Injury and Increased ICP(M1W8).pdf &amp; Exam Q47</t>
        </is>
      </c>
    </row>
    <row r="14">
      <c r="A14" s="14" t="n">
        <v>12</v>
      </c>
      <c r="B14" s="15" t="inlineStr">
        <is>
          <t>Which of the following is NOT a systemic cause of secondary ...</t>
        </is>
      </c>
      <c r="C14" s="6" t="inlineStr">
        <is>
          <t>D</t>
        </is>
      </c>
      <c r="D14" s="15" t="inlineStr">
        <is>
          <t>Hypoxia, hypotension, and raised ICP are direct systemic causes of secondary cerebral ischemia, whereas Seizure is classified as a clinical feature/manifestation.</t>
        </is>
      </c>
      <c r="E14" s="15" t="inlineStr">
        <is>
          <t>21. Head Injury and Increased ICP(M1W8).pdf &amp; Exam Q48</t>
        </is>
      </c>
    </row>
    <row r="15">
      <c r="A15" s="18" t="n">
        <v>13</v>
      </c>
      <c r="B15" s="19" t="inlineStr">
        <is>
          <t>Which of the following is NOT a predisposing factor for abdo...</t>
        </is>
      </c>
      <c r="C15" s="20" t="inlineStr">
        <is>
          <t>E</t>
        </is>
      </c>
      <c r="D15" s="19" t="inlineStr">
        <is>
          <t>COPD (coughing), obesity, pregnancy, and peritoneal dialysis all chronically raise intra-abdominal pressure. Urinary stones cause renal colic but do not cause abdominal wall hernia.</t>
        </is>
      </c>
      <c r="E15" s="19" t="inlineStr">
        <is>
          <t>25. Hernia(M1W10).pdf &amp; Exam Q49</t>
        </is>
      </c>
    </row>
    <row r="16">
      <c r="A16" s="14" t="n">
        <v>14</v>
      </c>
      <c r="B16" s="15" t="inlineStr">
        <is>
          <t>Which blood test is the most sensitive and specific for the ...</t>
        </is>
      </c>
      <c r="C16" s="6" t="inlineStr">
        <is>
          <t>D</t>
        </is>
      </c>
      <c r="D16" s="15" t="inlineStr">
        <is>
          <t>Serum lipase is more sensitive and specific than amylase for acute pancreatitis and remains elevated longer in blood.</t>
        </is>
      </c>
      <c r="E16" s="15" t="inlineStr">
        <is>
          <t>18. Pancreatitis(M1W7).pdf &amp; Exam Q50</t>
        </is>
      </c>
    </row>
    <row r="17">
      <c r="A17" s="18" t="n">
        <v>15</v>
      </c>
      <c r="B17" s="19" t="inlineStr">
        <is>
          <t>Which of the following statements regarding Acute Retention ...</t>
        </is>
      </c>
      <c r="C17" s="20" t="inlineStr">
        <is>
          <t>D</t>
        </is>
      </c>
      <c r="D17" s="19" t="inlineStr">
        <is>
          <t>AROU is explicitly defined as a urological emergency requiring immediate urinary catheter decompression.</t>
        </is>
      </c>
      <c r="E17" s="19" t="inlineStr">
        <is>
          <t>29. AROU and BPH(M1W12).pdf &amp; Exam Q51</t>
        </is>
      </c>
    </row>
    <row r="18">
      <c r="A18" s="14" t="n">
        <v>16</v>
      </c>
      <c r="B18" s="15" t="inlineStr">
        <is>
          <t>Which local ecchymosis sign occurs in severe acute pancreati...</t>
        </is>
      </c>
      <c r="C18" s="6" t="inlineStr">
        <is>
          <t>D</t>
        </is>
      </c>
      <c r="D18" s="15" t="inlineStr">
        <is>
          <t>Cullen's sign (periumbilical bruising) and Grey Turner's sign (flank bruising) indicate retroperitoneal blood extravasation in necrotizing pancreatitis.</t>
        </is>
      </c>
      <c r="E18" s="15" t="inlineStr">
        <is>
          <t>18. Pancreatitis(M1W7).pdf &amp; Exam Q52</t>
        </is>
      </c>
    </row>
    <row r="19">
      <c r="A19" s="18" t="n">
        <v>17</v>
      </c>
      <c r="B19" s="19" t="inlineStr">
        <is>
          <t>An elderly patient presents with strangulated prolapsed hemo...</t>
        </is>
      </c>
      <c r="C19" s="20" t="inlineStr">
        <is>
          <t>C</t>
        </is>
      </c>
      <c r="D19" s="19" t="inlineStr">
        <is>
          <t>Application of a hyperosmolar Magnesium Sulfate (MgSO4) and glycerine paste draws fluid out of prolapsed hemorrhoidal tissues via osmosis, reducing edema prior to reduction.</t>
        </is>
      </c>
      <c r="E19" s="19" t="inlineStr">
        <is>
          <t>24. Perianal condition(M1W9).pdf &amp; Exam Q53</t>
        </is>
      </c>
    </row>
    <row r="20">
      <c r="A20" s="14" t="n">
        <v>18</v>
      </c>
      <c r="B20" s="15" t="inlineStr">
        <is>
          <t>Which statement regarding the Glasgow Coma Scale (GCS) is TR...</t>
        </is>
      </c>
      <c r="C20" s="6" t="inlineStr">
        <is>
          <t>A</t>
        </is>
      </c>
      <c r="D20" s="15" t="inlineStr">
        <is>
          <t>Serial GCS recording provides a reproducible trend to detect early neurosurgical deterioration. Max score is 15, min is 3, and coma cutoff is GCS &lt;= 8.</t>
        </is>
      </c>
      <c r="E20" s="15" t="inlineStr">
        <is>
          <t>21. Head Injury and Increased ICP(M1W8).pdf &amp; Exam Q54</t>
        </is>
      </c>
    </row>
    <row r="21">
      <c r="A21" s="18" t="n">
        <v>19</v>
      </c>
      <c r="B21" s="19" t="inlineStr">
        <is>
          <t>Which intervention is NOT indicated for the acute management...</t>
        </is>
      </c>
      <c r="C21" s="20" t="inlineStr">
        <is>
          <t>E</t>
        </is>
      </c>
      <c r="D21" s="19" t="inlineStr">
        <is>
          <t>Phenol in almond oil is used as a sclerosant for low-grade internal hemorrhoids, NOT for esophageal variceal hemorrhage.</t>
        </is>
      </c>
      <c r="E21" s="19" t="inlineStr">
        <is>
          <t>12. Upper GI Bleeding(M1W6).pdf &amp; Exam Q55</t>
        </is>
      </c>
    </row>
    <row r="22">
      <c r="A22" s="14" t="n">
        <v>20</v>
      </c>
      <c r="B22" s="15" t="inlineStr">
        <is>
          <t>Which of the following clinical features is NOT a typical ea...</t>
        </is>
      </c>
      <c r="C22" s="6" t="inlineStr">
        <is>
          <t>E</t>
        </is>
      </c>
      <c r="D22" s="15" t="inlineStr">
        <is>
          <t>Fever is rare in early uncomplicated obstruction; its appearance indicates late ischemia, strangulation, or bowel perforation.</t>
        </is>
      </c>
      <c r="E22" s="15" t="inlineStr">
        <is>
          <t>22. Intestinal_obstruction...pdf &amp; Exam Q56</t>
        </is>
      </c>
    </row>
    <row r="23">
      <c r="A23" s="18" t="n">
        <v>21</v>
      </c>
      <c r="B23" s="19" t="inlineStr">
        <is>
          <t>A 25-year-old male presents with a groin swelling lateral to...</t>
        </is>
      </c>
      <c r="C23" s="20" t="inlineStr">
        <is>
          <t>B</t>
        </is>
      </c>
      <c r="D23" s="19" t="inlineStr">
        <is>
          <t>An indirect inguinal hernia passes through the deep inguinal ring lateral to the inferior epigastric artery.</t>
        </is>
      </c>
      <c r="E23" s="19" t="inlineStr">
        <is>
          <t>25. Hernia(M1W10).pdf &amp; Exam Q57</t>
        </is>
      </c>
    </row>
    <row r="24">
      <c r="A24" s="14" t="n">
        <v>22</v>
      </c>
      <c r="B24" s="15" t="inlineStr">
        <is>
          <t>A patient has a stoma in the Right Iliac Fossa (RIF) that ap...</t>
        </is>
      </c>
      <c r="C24" s="6" t="inlineStr">
        <is>
          <t>A</t>
        </is>
      </c>
      <c r="D24" s="15" t="inlineStr">
        <is>
          <t>An ileostomy is located in the RIF, has a spout to protect skin from corrosive enzymes, and discharges liquid effluent.</t>
        </is>
      </c>
      <c r="E24" s="15" t="inlineStr">
        <is>
          <t>22. Intestinal_obstruction...pdf &amp; Exam Q58</t>
        </is>
      </c>
    </row>
    <row r="25">
      <c r="A25" s="18" t="n">
        <v>23</v>
      </c>
      <c r="B25" s="19" t="inlineStr">
        <is>
          <t>A resected rectal specimen breaches muscularis propria with ...</t>
        </is>
      </c>
      <c r="C25" s="20" t="inlineStr">
        <is>
          <t>D</t>
        </is>
      </c>
      <c r="D25" s="19" t="inlineStr">
        <is>
          <t>Dukes C1 defines regional pararectal lymph node involvement while apical/main supplying vessel origin nodes remain clear (C2).</t>
        </is>
      </c>
      <c r="E25" s="19" t="inlineStr">
        <is>
          <t>22. Intestinal_obstruction...pdf &amp; Exam Q59</t>
        </is>
      </c>
    </row>
    <row r="26">
      <c r="A26" s="14" t="n">
        <v>24</v>
      </c>
      <c r="B26" s="15" t="inlineStr">
        <is>
          <t>A 68-year-old patient presents with a hard, irregular fixed ...</t>
        </is>
      </c>
      <c r="C26" s="6" t="inlineStr">
        <is>
          <t>A</t>
        </is>
      </c>
      <c r="D26" s="15" t="inlineStr">
        <is>
          <t>Right-sided colon (cecal/ascending) cancers bleed insidiously and present with iron deficiency anemia and a mass, unlike left-sided lesions which alter bowel habits.</t>
        </is>
      </c>
      <c r="E26" s="15" t="inlineStr">
        <is>
          <t>22. Intestinal_obstruction...pdf &amp; Exam Q60</t>
        </is>
      </c>
    </row>
    <row r="27">
      <c r="A27" s="18" t="n">
        <v>25</v>
      </c>
      <c r="B27" s="19" t="inlineStr">
        <is>
          <t>What is the imaging modality of choice for a 20-year-old lad...</t>
        </is>
      </c>
      <c r="C27" s="20" t="inlineStr">
        <is>
          <t>A</t>
        </is>
      </c>
      <c r="D27" s="19" t="inlineStr">
        <is>
          <t>Ultrasound is the imaging modality of choice for women under 30 due to high glandular density which obscures mammography.</t>
        </is>
      </c>
      <c r="E27" s="19" t="inlineStr">
        <is>
          <t>11. Breast diseases(M1W5).pdf &amp; Exam Q40/Q25</t>
        </is>
      </c>
    </row>
    <row r="28">
      <c r="A28" s="14" t="n">
        <v>26</v>
      </c>
      <c r="B28" s="15" t="inlineStr">
        <is>
          <t>Which statement regarding benign breast lesions is TRUE?...</t>
        </is>
      </c>
      <c r="C28" s="6" t="inlineStr">
        <is>
          <t>A</t>
        </is>
      </c>
      <c r="D28" s="15" t="inlineStr">
        <is>
          <t>Giant fibroadenoma is strictly defined as a benign fibroadenoma measuring &gt; 5 cm in diameter.</t>
        </is>
      </c>
      <c r="E28" s="15" t="inlineStr">
        <is>
          <t>11. Breast diseases(M1W5).pdf &amp; Exam Q41/Q26</t>
        </is>
      </c>
    </row>
    <row r="29">
      <c r="A29" s="18" t="n">
        <v>27</v>
      </c>
      <c r="B29" s="19" t="inlineStr">
        <is>
          <t>Which of the following is an established hormonal risk facto...</t>
        </is>
      </c>
      <c r="C29" s="20" t="inlineStr">
        <is>
          <t>E</t>
        </is>
      </c>
      <c r="D29" s="19" t="inlineStr">
        <is>
          <t>Nulliparity and late age at first child birth result in prolonged uninterrupted estrogen exposure, increasing breast cancer risk.</t>
        </is>
      </c>
      <c r="E29" s="19" t="inlineStr">
        <is>
          <t>11. Breast diseases(M1W5).pdf &amp; Exam Q42/Q27</t>
        </is>
      </c>
    </row>
    <row r="30">
      <c r="A30" s="14" t="n">
        <v>28</v>
      </c>
      <c r="B30" s="15" t="inlineStr">
        <is>
          <t>Which of the following conditions does NOT cause upper gastr...</t>
        </is>
      </c>
      <c r="C30" s="6" t="inlineStr">
        <is>
          <t>D</t>
        </is>
      </c>
      <c r="D30" s="15" t="inlineStr">
        <is>
          <t>Achalasia Cardia is a motility disorder presenting with progressive dysphagia and regurgitation, NOT upper GI bleeding.</t>
        </is>
      </c>
      <c r="E30" s="15" t="inlineStr">
        <is>
          <t>12. Upper GI Bleeding(M1W6).pdf &amp; Exam Q28</t>
        </is>
      </c>
    </row>
    <row r="31">
      <c r="A31" s="18" t="n">
        <v>29</v>
      </c>
      <c r="B31" s="19" t="inlineStr">
        <is>
          <t>Which of the following is NOT a risk factor for gastric carc...</t>
        </is>
      </c>
      <c r="C31" s="20" t="inlineStr">
        <is>
          <t>D</t>
        </is>
      </c>
      <c r="D31" s="19" t="inlineStr">
        <is>
          <t>H. pylori, gastric atrophy, pernicious anemia, and low socio-economic status are risk factors for gastric cancer. DU perforation is associated with high acid output, which is protective against gastric cancer.</t>
        </is>
      </c>
      <c r="E31" s="19" t="inlineStr">
        <is>
          <t>15. CA Stomach(M1W6).pdf &amp; Exam Q29</t>
        </is>
      </c>
    </row>
    <row r="32">
      <c r="A32" s="14" t="n">
        <v>30</v>
      </c>
      <c r="B32" s="15" t="inlineStr">
        <is>
          <t>Which life-threatening thoracic condition is routinely ident...</t>
        </is>
      </c>
      <c r="C32" s="6" t="inlineStr">
        <is>
          <t>B</t>
        </is>
      </c>
      <c r="D32" s="15" t="inlineStr">
        <is>
          <t>Primary survey identifies immediately lethal chest injuries (Tension/Open pneumothorax, Flail chest, Massive hemothorax, Cardiac tamponade). Pulmonary contusion evolves over time and is diagnosed in the Secondary Survey.</t>
        </is>
      </c>
      <c r="E32" s="15" t="inlineStr">
        <is>
          <t>20. Abdominal injuries, Chest injury...pdf &amp; Exam Q10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SURGERY (FP-2) MASTER SUMMARY DATABASE</t>
        </is>
      </c>
    </row>
    <row r="2">
      <c r="A2" s="4" t="inlineStr">
        <is>
          <t>Entity / Condition</t>
        </is>
      </c>
      <c r="B2" s="4" t="inlineStr">
        <is>
          <t>Category</t>
        </is>
      </c>
      <c r="C2" s="4" t="inlineStr">
        <is>
          <t>Sub-Category</t>
        </is>
      </c>
      <c r="D2" s="4" t="inlineStr">
        <is>
          <t>Key Characteristics &amp; Etiology</t>
        </is>
      </c>
      <c r="E2" s="4" t="inlineStr">
        <is>
          <t>Primary Mechanism &amp; Pathophysiology</t>
        </is>
      </c>
      <c r="F2" s="4" t="inlineStr">
        <is>
          <t>Clinical Manifestations &amp; Red Flags</t>
        </is>
      </c>
      <c r="G2" s="4" t="inlineStr">
        <is>
          <t>Diagnostic Markers &amp; Primary Management</t>
        </is>
      </c>
    </row>
    <row r="3">
      <c r="A3" s="21" t="inlineStr">
        <is>
          <t>Acute Ascending Cholangitis</t>
        </is>
      </c>
      <c r="B3" s="21" t="inlineStr">
        <is>
          <t>Hepatobiliary</t>
        </is>
      </c>
      <c r="C3" s="21" t="inlineStr">
        <is>
          <t>Biliary Emergency</t>
        </is>
      </c>
      <c r="D3" s="21" t="inlineStr">
        <is>
          <t>Common bile duct stone or stricture with enteric bacterial infection (E. coli, Klebsiella).</t>
        </is>
      </c>
      <c r="E3" s="21" t="inlineStr">
        <is>
          <t>Biliary stasis and increased intraductal pressure leading to bacterial translocation into systemic circulation.</t>
        </is>
      </c>
      <c r="F3" s="21" t="inlineStr">
        <is>
          <t>Charcot's Triad (RUQ pain, fever with rigors, jaundice); Reynolds' Pentad (adds hypotension and altered mental status).</t>
        </is>
      </c>
      <c r="G3" s="21" t="inlineStr">
        <is>
          <t>USG shows dilated CBD (&gt;6mm) and stones; LFTs show conjugated hyperbilirubinemia &amp; ALP &gt; 3x. Management: IV fluids, broad-spectrum IV antibiotics, urgent ERCP sphincterotomy/stenting.</t>
        </is>
      </c>
    </row>
    <row r="4">
      <c r="A4" s="5" t="inlineStr">
        <is>
          <t>Acute Ischemic Limb</t>
        </is>
      </c>
      <c r="B4" s="5" t="inlineStr">
        <is>
          <t>Vascular Surgery</t>
        </is>
      </c>
      <c r="C4" s="5" t="inlineStr">
        <is>
          <t>Arterial Occlusion</t>
        </is>
      </c>
      <c r="D4" s="5" t="inlineStr">
        <is>
          <t>Embolism (atrial fibrillation, post-MI) or acute thrombosis on pre-existing atherosclerosis.</t>
        </is>
      </c>
      <c r="E4" s="5" t="inlineStr">
        <is>
          <t>Sudden cessation of arterial perfusion resulting in tissue hypoxia, muscle ischemia, and nerve damage within 6 hours.</t>
        </is>
      </c>
      <c r="F4" s="5" t="inlineStr">
        <is>
          <t>The 6 Ps: Pain, Pallor, Pulselessness, Paresthesia, Paralysis, Perishingly cold. Red Flag: Muscle rigidity and complete sensory loss.</t>
        </is>
      </c>
      <c r="G4" s="5" t="inlineStr">
        <is>
          <t>Handheld Doppler / CT Angiography. Management: IV Heparin bolus, emergency Fogarty catheter embolectomy or arterial bypass surgery.</t>
        </is>
      </c>
    </row>
    <row r="5">
      <c r="A5" s="21" t="inlineStr">
        <is>
          <t>Carcinoma of Esophagus</t>
        </is>
      </c>
      <c r="B5" s="21" t="inlineStr">
        <is>
          <t>Gastrointestinal Oncology</t>
        </is>
      </c>
      <c r="C5" s="21" t="inlineStr">
        <is>
          <t>Esophageal Malignancy</t>
        </is>
      </c>
      <c r="D5" s="21" t="inlineStr">
        <is>
          <t>Squamous Cell (tobacco, alcohol, caustic stricture) or Adenocarcinoma (GERD, Barrett's esophagus).</t>
        </is>
      </c>
      <c r="E5" s="21" t="inlineStr">
        <is>
          <t>Malignant transmural invasion lacking serosal barrier, leading to early mediastinal and lymphatic dissemination.</t>
        </is>
      </c>
      <c r="F5" s="21" t="inlineStr">
        <is>
          <t>Progressive dysphagia (solids then liquids), rapid weight loss, anorexia. Red Flag: Odynophagia, hoarseness, supraclavicular lymphadenopathy.</t>
        </is>
      </c>
      <c r="G5" s="21" t="inlineStr">
        <is>
          <t>Flexible Upper GI Endoscopy (OGDS) with biopsy; CT staging. Management: Neoadjuvant chemoradiotherapy + Esophagectomy (Ivor Lewis) or SEMS stenting.</t>
        </is>
      </c>
    </row>
    <row r="6">
      <c r="A6" s="5" t="inlineStr">
        <is>
          <t>Splenic Rupture</t>
        </is>
      </c>
      <c r="B6" s="5" t="inlineStr">
        <is>
          <t>Trauma</t>
        </is>
      </c>
      <c r="C6" s="5" t="inlineStr">
        <is>
          <t>Abdominal Trauma</t>
        </is>
      </c>
      <c r="D6" s="5" t="inlineStr">
        <is>
          <t>Blunt trauma to left lower chest/flank (RTAs, assault, direct kick).</t>
        </is>
      </c>
      <c r="E6" s="5" t="inlineStr">
        <is>
          <t>Laceration of splenic parenchyma/capsule causing intra-abdominal hemorrhage and phrenic nerve irritation.</t>
        </is>
      </c>
      <c r="F6" s="5" t="inlineStr">
        <is>
          <t>Severe LUQ pain, peritonitis, Kehr's sign (left shoulder tip pain), Ballance's sign (fixed left flank dullness). Red Flag: Hemodynamic instability.</t>
        </is>
      </c>
      <c r="G6" s="5" t="inlineStr">
        <is>
          <t>FAST ultrasound scan / CT Abdomen. Management: Resuscitation (ATLS), emergency exploratory laparotomy and splenectomy; post-splenectomy vaccines.</t>
        </is>
      </c>
    </row>
    <row r="7">
      <c r="A7" s="21" t="inlineStr">
        <is>
          <t>Obstructed Femoral Hernia</t>
        </is>
      </c>
      <c r="B7" s="21" t="inlineStr">
        <is>
          <t>Hernia &amp; Bowel Obstruction</t>
        </is>
      </c>
      <c r="C7" s="21" t="inlineStr">
        <is>
          <t>Groin Hernia</t>
        </is>
      </c>
      <c r="D7" s="21" t="inlineStr">
        <is>
          <t>Protrusion of small bowel/omentum through narrow femoral canal below inguinal ligament (elderly females).</t>
        </is>
      </c>
      <c r="E7" s="21" t="inlineStr">
        <is>
          <t>Tight femoral ring causes mechanical neck compression, venous congestion, ischemia, and small bowel obstruction.</t>
        </is>
      </c>
      <c r="F7" s="21" t="inlineStr">
        <is>
          <t>Colicky abdominal pain, bilious vomiting, distension, absolute constipation, small tender groin swelling below inguinal ligament.</t>
        </is>
      </c>
      <c r="G7" s="21" t="inlineStr">
        <is>
          <t>Plain abdominal X-ray (distended small bowel loops, air-fluid levels). Management: NBM, IV hydration, RTS, emergency groin repair &amp; bowel resection if gangrenous.</t>
        </is>
      </c>
    </row>
    <row r="8">
      <c r="A8" s="5" t="inlineStr">
        <is>
          <t>Phyllodes Tumour</t>
        </is>
      </c>
      <c r="B8" s="5" t="inlineStr">
        <is>
          <t>Breast Surgery</t>
        </is>
      </c>
      <c r="C8" s="5" t="inlineStr">
        <is>
          <t>Fibroepithelial Neoplasm</t>
        </is>
      </c>
      <c r="D8" s="5" t="inlineStr">
        <is>
          <t>Biphasic stromal-epithelial tumor occurring in adult females.</t>
        </is>
      </c>
      <c r="E8" s="5" t="inlineStr">
        <is>
          <t>Rapid stromal expansion causing massive breast enlargement, skin stretching, and pressure necrosis.</t>
        </is>
      </c>
      <c r="F8" s="5" t="inlineStr">
        <is>
          <t>Large (&gt;5 cm), firm, mobile, bosselated breast mass. Red Flag: Pressure ischemia with ulceration of overlying skin.</t>
        </is>
      </c>
      <c r="G8" s="5" t="inlineStr">
        <is>
          <t>Breast USG/Mammography &amp; Core needle biopsy. Management: Wide local excision with &gt;1 cm clear margins or simple mastectomy (no routine axillary dissection).</t>
        </is>
      </c>
    </row>
    <row r="9">
      <c r="A9" s="21" t="inlineStr">
        <is>
          <t>Carcinoma Head of Pancreas</t>
        </is>
      </c>
      <c r="B9" s="21" t="inlineStr">
        <is>
          <t>Hepatobiliary Oncology</t>
        </is>
      </c>
      <c r="C9" s="21" t="inlineStr">
        <is>
          <t>Pancreatic Cancer</t>
        </is>
      </c>
      <c r="D9" s="21" t="inlineStr">
        <is>
          <t>Ductal adenocarcinoma of pancreatic head or periampullary region.</t>
        </is>
      </c>
      <c r="E9" s="21" t="inlineStr">
        <is>
          <t>Insidious compression and gradual obliteration of the retropancreatic common bile duct causing severe extrahepatic cholestasis.</t>
        </is>
      </c>
      <c r="F9" s="21" t="inlineStr">
        <is>
          <t>Painless, continuously progressive obstructive jaundice, severe pruritus, dark urine, clay-colored (acholic) stools, weight loss. Courvoisier's sign.</t>
        </is>
      </c>
      <c r="G9" s="21" t="inlineStr">
        <is>
          <t>LFTs (conjugated hyperbilirubinemia, ALP &gt; 3-5x); CA 19-9; Multiphase CT. Management: Whipple's procedure (Pancreaticoduodenectomy) or ERCP biliary stenting.</t>
        </is>
      </c>
    </row>
    <row r="10">
      <c r="A10" s="5" t="inlineStr">
        <is>
          <t>Acute Appendicitis</t>
        </is>
      </c>
      <c r="B10" s="5" t="inlineStr">
        <is>
          <t>General Surgery</t>
        </is>
      </c>
      <c r="C10" s="5" t="inlineStr">
        <is>
          <t>Acute Abdomen</t>
        </is>
      </c>
      <c r="D10" s="5" t="inlineStr">
        <is>
          <t>Obstructed appendiceal lumen (fecalith, lymphoid hyperplasia) with secondary bacterial infection.</t>
        </is>
      </c>
      <c r="E10" s="5" t="inlineStr">
        <is>
          <t>Luminal distension, venous congestion, ischemia, gangrene, and localized or generalized perforation.</t>
        </is>
      </c>
      <c r="F10" s="5" t="inlineStr">
        <is>
          <t>Migratory pain (periumbilical to RIF), anorexia, nausea, fever (38°C), localized RIF tenderness, rigidity, rebound tenderness (McBurney's point).</t>
        </is>
      </c>
      <c r="G10" s="5" t="inlineStr">
        <is>
          <t>Ultrasound Abdomen / FBC (leucocytosis). Management: Emergency open or laparoscopic appendectomy &amp; IV antibiotics.</t>
        </is>
      </c>
    </row>
    <row r="11">
      <c r="A11" s="21" t="inlineStr">
        <is>
          <t>Acute Pancreatitis</t>
        </is>
      </c>
      <c r="B11" s="21" t="inlineStr">
        <is>
          <t>Gastrointestinal</t>
        </is>
      </c>
      <c r="C11" s="21" t="inlineStr">
        <is>
          <t>Pancreatic Emergency</t>
        </is>
      </c>
      <c r="D11" s="21" t="inlineStr">
        <is>
          <t>Gallstones (biliary) and alcohol abuse (major causes).</t>
        </is>
      </c>
      <c r="E11" s="21" t="inlineStr">
        <is>
          <t>Intra-acinar zymogen activation causing auto-digestion, parenchymal necrosis, hemorrhage, and systemic inflammatory response (SIRS).</t>
        </is>
      </c>
      <c r="F11" s="21" t="inlineStr">
        <is>
          <t>Severe epigastric pain radiating to the back, vomiting, paralytic ileus. Red Flag: Periumbilical ecchymosis (Cullen's sign) &amp; flank ecchymosis (Grey Turner's sign).</t>
        </is>
      </c>
      <c r="G11" s="21" t="inlineStr">
        <is>
          <t>Serum Lipase (&gt;3x upper limit of normal, more sensitive/specific than amylase); CT Abdomen. Management: Aggressive IV fluid resuscitation, analgesia, NBM.</t>
        </is>
      </c>
    </row>
    <row r="12">
      <c r="A12" s="5" t="inlineStr">
        <is>
          <t>Epidural Hematoma</t>
        </is>
      </c>
      <c r="B12" s="5" t="inlineStr">
        <is>
          <t>Neurotrauma</t>
        </is>
      </c>
      <c r="C12" s="5" t="inlineStr">
        <is>
          <t>Head Injury</t>
        </is>
      </c>
      <c r="D12" s="5" t="inlineStr">
        <is>
          <t>Blunt head trauma (temporal bone fracture) tearing the middle meningeal artery.</t>
        </is>
      </c>
      <c r="E12" s="5" t="inlineStr">
        <is>
          <t>Arterial bleeding expanding rapidly between inner table of skull and dura mater, elevating intracranial pressure and causing brain herniation.</t>
        </is>
      </c>
      <c r="F12" s="5" t="inlineStr">
        <is>
          <t>Transient loss of consciousness followed by a 'lucid interval', then rapid deterioration, severe headache, ipsilateral dilated pupil.</t>
        </is>
      </c>
      <c r="G12" s="5" t="inlineStr">
        <is>
          <t>Non-contrast CT Head (biconvex/lenticular hyperdense extra-axial mass). Management: Immediate hypertonic saline/mannitol, emergency burr hole / craniotomy.</t>
        </is>
      </c>
    </row>
    <row r="13">
      <c r="A13" s="21" t="inlineStr">
        <is>
          <t>Thrombosed External Hemorrhoid</t>
        </is>
      </c>
      <c r="B13" s="21" t="inlineStr">
        <is>
          <t>Anorectal Surgery</t>
        </is>
      </c>
      <c r="C13" s="21" t="inlineStr">
        <is>
          <t>Perianal Condition</t>
        </is>
      </c>
      <c r="D13" s="21" t="inlineStr">
        <is>
          <t>Acute venous thrombosis of the inferior hemorrhoidal plexus below the dentate line (triggered by heavy lifting/straining).</t>
        </is>
      </c>
      <c r="E13" s="21" t="inlineStr">
        <is>
          <t>Subcutaneous hematoma formation under sensitive squamous epithelium of the anal verge.</t>
        </is>
      </c>
      <c r="F13" s="21" t="inlineStr">
        <is>
          <t>Sudden onset of excruciating perianal pain, visible olive-shaped, tense, blue subcutaneous swelling at anal margin.</t>
        </is>
      </c>
      <c r="G13" s="21" t="inlineStr">
        <is>
          <t>Clinical inspection. Management: Stool softeners, analgesia, warm sitz baths, or emergency excision under local anesthesia within 48-72 hours.</t>
        </is>
      </c>
    </row>
    <row r="14">
      <c r="A14" s="5" t="inlineStr">
        <is>
          <t>Benign Prostatic Hyperplasia</t>
        </is>
      </c>
      <c r="B14" s="5" t="inlineStr">
        <is>
          <t>Urology</t>
        </is>
      </c>
      <c r="C14" s="5" t="inlineStr">
        <is>
          <t>Lower Urinary Tract</t>
        </is>
      </c>
      <c r="D14" s="5" t="inlineStr">
        <is>
          <t>Nodular hyperplasia of prostatic transition zone driven by dihydrotestosterone (DHT) in aging males.</t>
        </is>
      </c>
      <c r="E14" s="5" t="inlineStr">
        <is>
          <t>Mechanical bladder outlet obstruction causing progressive LUTS and risk of acute urinary retention (AROU).</t>
        </is>
      </c>
      <c r="F14" s="5" t="inlineStr">
        <is>
          <t>Frequency, nocturia, hesitancy, weak stream, terminal dribbling, sensation of incomplete emptying. Red Flag: Painful inability to void (AROU).</t>
        </is>
      </c>
      <c r="G14" s="5" t="inlineStr">
        <is>
          <t>Digital Rectal Exam (smooth, firm, enlarged prostate); PSA; Uroflowmetry. Management: Alpha-blockers (Tamsulosin) for quick relief; Finasteride (5-ARI) to shrink prostate and prevent retention.</t>
        </is>
      </c>
    </row>
    <row r="15">
      <c r="A15" s="21" t="inlineStr">
        <is>
          <t>Severe Inhalational Burn</t>
        </is>
      </c>
      <c r="B15" s="21" t="inlineStr">
        <is>
          <t>Plastic Surgery &amp; Trauma</t>
        </is>
      </c>
      <c r="C15" s="21" t="inlineStr">
        <is>
          <t>Burn Emergency</t>
        </is>
      </c>
      <c r="D15" s="21" t="inlineStr">
        <is>
          <t>Thermal and toxic chemical exposure from smoke inhalation in confined spaces.</t>
        </is>
      </c>
      <c r="E15" s="21" t="inlineStr">
        <is>
          <t>Thermal injury to upper airway causing rapid edema/stridor; chemical injury to lower respiratory tract causing bronchospasm and ARDS.</t>
        </is>
      </c>
      <c r="F15" s="21" t="inlineStr">
        <is>
          <t>Soot in oropharynx/nasal cavity, singed nasal hairs, carbonaceous sputum, hoarseness, stridor, disorientation.</t>
        </is>
      </c>
      <c r="G15" s="21" t="inlineStr">
        <is>
          <t>Fiberoptic bronchoscopy; Arterial Blood Gas (Carboxyhemoglobin level). Management: 100% humidified oxygen, early elective endotracheal intubation, ICU support.</t>
        </is>
      </c>
    </row>
    <row r="16">
      <c r="A16" s="5" t="inlineStr">
        <is>
          <t>Acute Anal Fissure</t>
        </is>
      </c>
      <c r="B16" s="5" t="inlineStr">
        <is>
          <t>Anorectal Surgery</t>
        </is>
      </c>
      <c r="C16" s="5" t="inlineStr">
        <is>
          <t>Perianal Condition</t>
        </is>
      </c>
      <c r="D16" s="5" t="inlineStr">
        <is>
          <t>Trauma from hard stool evacuation causing an ischemic longitudinal tear in distal anal canal (most common in females).</t>
        </is>
      </c>
      <c r="E16" s="5" t="inlineStr">
        <is>
          <t>Hypertonia of internal anal sphincter leading to local ischemia and severe pain, preventing mucosal healing.</t>
        </is>
      </c>
      <c r="F16" s="5" t="inlineStr">
        <is>
          <t>Sharp, tearing, excruciating pain during and immediately after defecation, accompanied by bright red blood on toilet paper.</t>
        </is>
      </c>
      <c r="G16" s="5" t="inlineStr">
        <is>
          <t>Visual inspection (gently parting buttocks; DRE avoided in acute phase). Management: High-fiber diet, stool softeners, warm sitz baths, topical 0.2% GTN / Diltiazem.</t>
        </is>
      </c>
    </row>
    <row r="17">
      <c r="A17" s="21" t="inlineStr">
        <is>
          <t>Fistula-in-ano</t>
        </is>
      </c>
      <c r="B17" s="21" t="inlineStr">
        <is>
          <t>Anorectal Surgery</t>
        </is>
      </c>
      <c r="C17" s="21" t="inlineStr">
        <is>
          <t>Anorectal Infection</t>
        </is>
      </c>
      <c r="D17" s="21" t="inlineStr">
        <is>
          <t>Chronic abnormal epithelialized tract connecting anal canal to perianal skin (following perianal abscess drainage).</t>
        </is>
      </c>
      <c r="E17" s="21" t="inlineStr">
        <is>
          <t>Cryptoglandular infection of anal glands spreading along intersphincteric planes.</t>
        </is>
      </c>
      <c r="F17" s="21" t="inlineStr">
        <is>
          <t>Recurrent purulent or serosanguinous perianal discharge, localized itching, pain, and a palpable perianal skin opening.</t>
        </is>
      </c>
      <c r="G17" s="21" t="inlineStr">
        <is>
          <t>Pelvic MRI (gold standard for mapping complex sphincter relation). Management: Goodsall's rule evaluation; Seton placement, Fistulotomy, or LIFT procedure.</t>
        </is>
      </c>
    </row>
    <row r="18">
      <c r="A18" s="5" t="inlineStr">
        <is>
          <t>Colles' Fracture</t>
        </is>
      </c>
      <c r="B18" s="5" t="inlineStr">
        <is>
          <t>Orthopedics</t>
        </is>
      </c>
      <c r="C18" s="5" t="inlineStr">
        <is>
          <t>Upper Limb Trauma</t>
        </is>
      </c>
      <c r="D18" s="5" t="inlineStr">
        <is>
          <t>Extra-articular fracture of distal radius within 2.5 cm of wrist joint caused by fall on an outstretched hand (FOOSH).</t>
        </is>
      </c>
      <c r="E18" s="5" t="inlineStr">
        <is>
          <t>Dorsal displacement, dorsal tilt, lateral tilt, and supination of distal radial fragment.</t>
        </is>
      </c>
      <c r="F18" s="5" t="inlineStr">
        <is>
          <t>Pain, swelling, tenderness over distal radius, classic 'dinner-fork' deformity.</t>
        </is>
      </c>
      <c r="G18" s="5" t="inlineStr">
        <is>
          <t>Plain X-rays of wrist (AP and Lateral views). Management: Closed reduction under hematoma block, immobilization in plaster cast (Colles' cast) for 4-6 weeks.</t>
        </is>
      </c>
    </row>
    <row r="19">
      <c r="A19" s="21" t="inlineStr">
        <is>
          <t>Duodenal Ulcer Perforation</t>
        </is>
      </c>
      <c r="B19" s="21" t="inlineStr">
        <is>
          <t>Upper GI Emergency</t>
        </is>
      </c>
      <c r="C19" s="21" t="inlineStr">
        <is>
          <t>Peptic Ulcer Disease</t>
        </is>
      </c>
      <c r="D19" s="21" t="inlineStr">
        <is>
          <t>Complication of severe H. pylori infection or chronic NSAID use.</t>
        </is>
      </c>
      <c r="E19" s="21" t="inlineStr">
        <is>
          <t>Transmural ulceration through anterior wall of first part of duodenum, leaking acidic gastric contents into peritoneal cavity.</t>
        </is>
      </c>
      <c r="F19" s="21" t="inlineStr">
        <is>
          <t>Sudden onset of agonizing generalized abdominal pain, board-like abdominal rigidity, absent bowel sounds, obliteration of liver dullness.</t>
        </is>
      </c>
      <c r="G19" s="21" t="inlineStr">
        <is>
          <t>Erect Chest X-ray (pneumoperitoneum / free gas under diaphragm). Management: Emergency resuscitation, IV fluids, IV PPI, broad-spectrum antibiotics, Cellan-Jones / Graham patch repair.</t>
        </is>
      </c>
    </row>
    <row r="20">
      <c r="A20" s="5" t="inlineStr">
        <is>
          <t>Urolithiasis</t>
        </is>
      </c>
      <c r="B20" s="5" t="inlineStr">
        <is>
          <t>Urology</t>
        </is>
      </c>
      <c r="C20" s="5" t="inlineStr">
        <is>
          <t>Urinary Tract Stone</t>
        </is>
      </c>
      <c r="D20" s="5" t="inlineStr">
        <is>
          <t>Calcium oxalate/phosphate stones formed due to dehydration, hypercalciuria, or metabolic imbalances.</t>
        </is>
      </c>
      <c r="E20" s="5" t="inlineStr">
        <is>
          <t>Calculus impaction at pelviureteric junction, vesicoureteric junction, or iliac vessel crossing, causing ureteric spasm and obstruction.</t>
        </is>
      </c>
      <c r="F20" s="5" t="inlineStr">
        <is>
          <t>Severe sudden colicky flank pain radiating to the groin/scrotum/labia, restlessness, macroscopic or microscopic hematuria.</t>
        </is>
      </c>
      <c r="G20" s="5" t="inlineStr">
        <is>
          <t>Non-contrast CT KUB (gold standard) / Renal Ultrasound. Management: Analgesia (NSAIDs/morphine), hydration, medical expulsive therapy (Tamsulosin) or ESWL / Ureteroscopy (URS).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2026-10-04T16:07:35Z</dcterms:created>
  <dcterms:modified xmlns:dcterms="http://purl.org/dc/terms/" xmlns:xsi="http://www.w3.org/2001/XMLSchema-instance" xsi:type="dcterms:W3CDTF">2026-10-04T16:07:35Z</dcterms:modified>
</cp:coreProperties>
</file>