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FFFFFF"/>
      <sz val="16"/>
    </font>
    <font>
      <name val="Calibri"/>
      <i val="1"/>
      <sz val="10"/>
    </font>
    <font>
      <name val="Calibri"/>
      <b val="1"/>
      <color rgb="00FFFFFF"/>
      <sz val="12"/>
    </font>
    <font>
      <name val="Calibri"/>
      <b val="1"/>
      <color rgb="00FFFFFF"/>
      <sz val="11"/>
    </font>
    <font>
      <name val="Calibri"/>
      <b val="1"/>
      <sz val="11"/>
    </font>
    <font>
      <name val="Calibri"/>
      <sz val="11"/>
    </font>
    <font>
      <name val="Calibri"/>
      <color rgb="00595959"/>
      <sz val="10"/>
    </font>
    <font>
      <name val="Calibri"/>
      <b val="1"/>
      <color rgb="002F5496"/>
      <sz val="14"/>
    </font>
  </fonts>
  <fills count="8">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F9FAFB"/>
        <bgColor rgb="00F9FAFB"/>
      </patternFill>
    </fill>
    <fill>
      <patternFill patternType="solid">
        <fgColor rgb="00F2F2F2"/>
        <bgColor rgb="00F2F2F2"/>
      </patternFill>
    </fill>
    <fill>
      <patternFill patternType="solid">
        <fgColor rgb="00DCE6F1"/>
        <bgColor rgb="00DCE6F1"/>
      </patternFill>
    </fill>
    <fill>
      <patternFill patternType="solid">
        <fgColor rgb="00E2EFDA"/>
        <bgColor rgb="00E2EFDA"/>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0" pivotButton="0" quotePrefix="0" xfId="0"/>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1" pivotButton="0" quotePrefix="0" xfId="0"/>
    <xf numFmtId="0" fontId="5" fillId="5" borderId="1" applyAlignment="1" pivotButton="0" quotePrefix="0" xfId="0">
      <alignment horizontal="center" vertical="center" wrapText="1"/>
    </xf>
    <xf numFmtId="0" fontId="6" fillId="0" borderId="1" pivotButton="0" quotePrefix="0" xfId="0"/>
    <xf numFmtId="0" fontId="0" fillId="0" borderId="4" pivotButton="0" quotePrefix="0" xfId="0"/>
    <xf numFmtId="0" fontId="0" fillId="0" borderId="5" pivotButton="0" quotePrefix="0" xfId="0"/>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0" borderId="0" pivotButton="0" quotePrefix="0" xfId="0"/>
    <xf numFmtId="164" fontId="5" fillId="7"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 pivotButton="0" quotePrefix="0" xfId="0"/>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3"/>
  <sheetViews>
    <sheetView showGridLines="0" workbookViewId="0">
      <selection activeCell="A1" sqref="A1"/>
    </sheetView>
  </sheetViews>
  <sheetFormatPr baseColWidth="8" defaultRowHeight="15"/>
  <cols>
    <col width="4" customWidth="1" min="1" max="1"/>
    <col width="28" customWidth="1" min="2" max="2"/>
    <col width="24" customWidth="1" min="3" max="3"/>
    <col width="20" customWidth="1" min="4" max="4"/>
    <col width="20" customWidth="1" min="5" max="5"/>
    <col width="45" customWidth="1" min="6" max="6"/>
  </cols>
  <sheetData>
    <row r="2" ht="40" customHeight="1">
      <c r="B2" s="1" t="inlineStr">
        <is>
          <t>PATHOPHYSIOLOGY OF DEHYDRATION &amp; FLUID BALANCE</t>
        </is>
      </c>
    </row>
    <row r="3">
      <c r="B3" s="2" t="inlineStr">
        <is>
          <t>Interactive Self-Assessment Quiz | Version 2.0 (Purified Dehydration Content)</t>
        </is>
      </c>
    </row>
    <row r="5" ht="25" customHeight="1">
      <c r="B5" s="3" t="inlineStr">
        <is>
          <t>WORKBOOK OVERVIEW &amp; STRUCTURE</t>
        </is>
      </c>
    </row>
    <row r="6" ht="24" customHeight="1">
      <c r="B6" s="4" t="inlineStr">
        <is>
          <t>Sheet Name</t>
        </is>
      </c>
      <c r="C6" s="4" t="inlineStr">
        <is>
          <t>Target Audience</t>
        </is>
      </c>
      <c r="D6" s="4" t="inlineStr">
        <is>
          <t>Description &amp; Purpose</t>
        </is>
      </c>
    </row>
    <row r="7" ht="24" customHeight="1">
      <c r="B7" s="5" t="inlineStr">
        <is>
          <t>Table of Contents</t>
        </is>
      </c>
      <c r="C7" s="6" t="inlineStr">
        <is>
          <t>All Users</t>
        </is>
      </c>
      <c r="D7" s="7" t="inlineStr">
        <is>
          <t>Workbook architecture, formatting key, and study instructions.</t>
        </is>
      </c>
    </row>
    <row r="8" ht="24" customHeight="1">
      <c r="B8" s="8" t="inlineStr">
        <is>
          <t>Interactive Quiz</t>
        </is>
      </c>
      <c r="C8" s="9" t="inlineStr">
        <is>
          <t>Students</t>
        </is>
      </c>
      <c r="D8" s="10" t="inlineStr">
        <is>
          <t>30-question interactive assessment with dynamic scoring scorecard and immediate validation feedback.</t>
        </is>
      </c>
    </row>
    <row r="9" ht="24" customHeight="1">
      <c r="B9" s="5" t="inlineStr">
        <is>
          <t>Answer Key &amp; Explanations</t>
        </is>
      </c>
      <c r="C9" s="6" t="inlineStr">
        <is>
          <t>Instructors / Review</t>
        </is>
      </c>
      <c r="D9" s="7" t="inlineStr">
        <is>
          <t>Master answer key with comprehensive board-style pathophysiological rationales.</t>
        </is>
      </c>
    </row>
    <row r="12" ht="25" customHeight="1">
      <c r="B12" s="3" t="inlineStr">
        <is>
          <t>THE 3-TIER COGNITIVE CURRICULUM LADDER</t>
        </is>
      </c>
    </row>
    <row r="13" ht="24" customHeight="1">
      <c r="B13" s="4" t="inlineStr">
        <is>
          <t>Cognitive Level</t>
        </is>
      </c>
      <c r="C13" s="4" t="inlineStr">
        <is>
          <t>Question Count</t>
        </is>
      </c>
      <c r="D13" s="4" t="inlineStr">
        <is>
          <t>Percentage</t>
        </is>
      </c>
      <c r="E13" s="4" t="inlineStr">
        <is>
          <t>Core Learning Focus</t>
        </is>
      </c>
    </row>
    <row r="14" ht="24" customHeight="1">
      <c r="B14" s="8" t="inlineStr">
        <is>
          <t>Level 1: Must-Know (Basic)</t>
        </is>
      </c>
      <c r="C14" s="9" t="inlineStr">
        <is>
          <t>15 Questions (Q1 - Q15)</t>
        </is>
      </c>
      <c r="D14" s="9" t="inlineStr">
        <is>
          <t>50%</t>
        </is>
      </c>
      <c r="E14" s="10" t="inlineStr">
        <is>
          <t>Fluid compartments (ECF/ICF), total body water, 3 dehydration types, serum Na+ cutoffs, and physical signs.</t>
        </is>
      </c>
    </row>
    <row r="15" ht="24" customHeight="1">
      <c r="B15" s="5" t="inlineStr">
        <is>
          <t>Level 2: Should-Know (Intermediate)</t>
        </is>
      </c>
      <c r="C15" s="6" t="inlineStr">
        <is>
          <t>9 Questions (Q16 - Q24)</t>
        </is>
      </c>
      <c r="D15" s="6" t="inlineStr">
        <is>
          <t>30%</t>
        </is>
      </c>
      <c r="E15" s="7" t="inlineStr">
        <is>
          <t>Fluid compartment shifts (swelling vs shrinkage), etiologies (diuretics, Addison's, DI), early shock mechanics, and IV fluid choices.</t>
        </is>
      </c>
    </row>
    <row r="16" ht="24" customHeight="1">
      <c r="B16" s="8" t="inlineStr">
        <is>
          <t>Level 3: Advanced (Nice-to-Know)</t>
        </is>
      </c>
      <c r="C16" s="9" t="inlineStr">
        <is>
          <t>6 Questions (Q25 - Q30)</t>
        </is>
      </c>
      <c r="D16" s="9" t="inlineStr">
        <is>
          <t>20%</t>
        </is>
      </c>
      <c r="E16" s="10" t="inlineStr">
        <is>
          <t>Urinary sodium (&lt;10 vs &gt;20 mmol/L), non-osmotic ADH override, colloid vs crystalloid pressure, and dehydration fever mechanics.</t>
        </is>
      </c>
    </row>
    <row r="19" ht="25" customHeight="1">
      <c r="B19" s="3" t="inlineStr">
        <is>
          <t>COLOR-CODING LEGEND</t>
        </is>
      </c>
    </row>
    <row r="20" ht="22" customHeight="1">
      <c r="B20" s="11" t="inlineStr">
        <is>
          <t>Cell Style</t>
        </is>
      </c>
      <c r="C20" s="12" t="inlineStr">
        <is>
          <t>Color Sample</t>
        </is>
      </c>
      <c r="D20" s="13" t="inlineStr">
        <is>
          <t>Meaning / Usage</t>
        </is>
      </c>
      <c r="E20" s="14" t="n"/>
      <c r="F20" s="15" t="n"/>
    </row>
    <row r="21" ht="22" customHeight="1">
      <c r="B21" s="11" t="inlineStr">
        <is>
          <t>Input Cell</t>
        </is>
      </c>
      <c r="C21" s="16" t="inlineStr">
        <is>
          <t>Light Blue</t>
        </is>
      </c>
      <c r="D21" s="13" t="inlineStr">
        <is>
          <t>Student choice entry cell (data validation dropdown constrained to A, B, C, D, E).</t>
        </is>
      </c>
      <c r="E21" s="14" t="n"/>
      <c r="F21" s="15" t="n"/>
    </row>
    <row r="22" ht="22" customHeight="1">
      <c r="B22" s="11" t="inlineStr">
        <is>
          <t>Computed Cell</t>
        </is>
      </c>
      <c r="C22" s="17" t="inlineStr">
        <is>
          <t>Light Green</t>
        </is>
      </c>
      <c r="D22" s="13" t="inlineStr">
        <is>
          <t>Automated formula cell (scorecard calculations, accuracy check feedback).</t>
        </is>
      </c>
      <c r="E22" s="14" t="n"/>
      <c r="F22" s="15" t="n"/>
    </row>
    <row r="23" ht="22" customHeight="1">
      <c r="B23" s="11" t="inlineStr">
        <is>
          <t>Read-Only Cell</t>
        </is>
      </c>
      <c r="C23" s="12" t="inlineStr">
        <is>
          <t>White / Zebra Gray</t>
        </is>
      </c>
      <c r="D23" s="13" t="inlineStr">
        <is>
          <t>Question stems, multiple choice options, and explanatory text.</t>
        </is>
      </c>
      <c r="E23" s="14" t="n"/>
      <c r="F23" s="15" t="n"/>
    </row>
  </sheetData>
  <mergeCells count="8">
    <mergeCell ref="B12:F12"/>
    <mergeCell ref="B2:F2"/>
    <mergeCell ref="D23:F23"/>
    <mergeCell ref="D22:F22"/>
    <mergeCell ref="B19:F19"/>
    <mergeCell ref="B5:F5"/>
    <mergeCell ref="D21:F21"/>
    <mergeCell ref="D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38"/>
  <sheetViews>
    <sheetView showGridLines="0" workbookViewId="0">
      <selection activeCell="A1" sqref="A1"/>
    </sheetView>
  </sheetViews>
  <sheetFormatPr baseColWidth="8" defaultRowHeight="15"/>
  <cols>
    <col width="6" customWidth="1" min="1" max="1"/>
    <col width="24" customWidth="1" min="2" max="2"/>
    <col width="22" customWidth="1" min="3" max="3"/>
    <col width="22" customWidth="1" min="4" max="4"/>
    <col width="22" customWidth="1" min="5" max="5"/>
    <col width="22" customWidth="1" min="6" max="6"/>
    <col width="22" customWidth="1" min="7" max="7"/>
    <col width="16" customWidth="1" min="8" max="8"/>
    <col width="28" customWidth="1" min="9" max="9"/>
  </cols>
  <sheetData>
    <row r="2" ht="35" customHeight="1">
      <c r="B2" s="1" t="inlineStr">
        <is>
          <t>PATHOPHYSIOLOGY OF DEHYDRATION - INTERACTIVE QUIZ</t>
        </is>
      </c>
    </row>
    <row r="4" ht="24" customHeight="1">
      <c r="B4" s="3" t="inlineStr">
        <is>
          <t>STUDENT SCORECARD &amp; PERFORMANCE SUMMARY</t>
        </is>
      </c>
    </row>
    <row r="5">
      <c r="B5" s="18" t="inlineStr">
        <is>
          <t>Questions Attempted:</t>
        </is>
      </c>
      <c r="C5" s="17">
        <f>COUNTA(I9:I38)</f>
        <v/>
      </c>
      <c r="E5" s="18" t="inlineStr">
        <is>
          <t>Correct Answers:</t>
        </is>
      </c>
      <c r="F5" s="17">
        <f>COUNTIF(J9:J38, "*Correct*")</f>
        <v/>
      </c>
      <c r="H5" s="18" t="inlineStr">
        <is>
          <t>Overall Score:</t>
        </is>
      </c>
      <c r="I5" s="19">
        <f>IF(C5=0, 0, F5/30)</f>
        <v/>
      </c>
    </row>
    <row r="6">
      <c r="B6" s="2" t="inlineStr">
        <is>
          <t>Instructions: Select your answer choice (A, B, C, D, or E) from the dropdown menu in Column I. The feedback column will automatically grade your entry.</t>
        </is>
      </c>
    </row>
    <row r="8" ht="26" customHeight="1">
      <c r="A8" s="4" t="inlineStr">
        <is>
          <t>Q#</t>
        </is>
      </c>
      <c r="B8" s="4" t="inlineStr">
        <is>
          <t>Cognitive Level</t>
        </is>
      </c>
      <c r="C8" s="4" t="inlineStr">
        <is>
          <t>Question Stem &amp; Multiple Choice Options</t>
        </is>
      </c>
      <c r="D8" s="14" t="n"/>
      <c r="E8" s="14" t="n"/>
      <c r="F8" s="14" t="n"/>
      <c r="G8" s="15" t="n"/>
      <c r="H8" s="4" t="inlineStr">
        <is>
          <t>Your Answer</t>
        </is>
      </c>
      <c r="I8" s="4" t="inlineStr">
        <is>
          <t>Validation Feedback</t>
        </is>
      </c>
    </row>
    <row r="9" ht="85" customHeight="1">
      <c r="A9" s="8" t="n">
        <v>1</v>
      </c>
      <c r="B9" s="20" t="inlineStr">
        <is>
          <t>Level 1: Must-Know (Basic)</t>
        </is>
      </c>
      <c r="C9" s="10" t="inlineStr">
        <is>
          <t>In a healthy adult with average body composition, what approximate percentage of total body weight is made up of Total Body Water (TBW)?
A) 40% | B) 50% | C) 60% | D) 75% | E) 85%</t>
        </is>
      </c>
      <c r="D9" s="21" t="n"/>
      <c r="E9" s="21" t="n"/>
      <c r="F9" s="21" t="n"/>
      <c r="G9" s="21" t="n"/>
      <c r="H9" s="22" t="n"/>
      <c r="I9" s="5">
        <f>IF(ISBLANK(H9), "", IF(H9='Answer Key &amp; Explanations'!C9, "✅ Correct Response", "❌ Incorrect (See Key)"))</f>
        <v/>
      </c>
    </row>
    <row r="10" ht="85" customHeight="1">
      <c r="A10" s="8" t="n">
        <v>2</v>
      </c>
      <c r="B10" s="20" t="inlineStr">
        <is>
          <t>Level 1: Must-Know (Basic)</t>
        </is>
      </c>
      <c r="C10" s="10" t="inlineStr">
        <is>
          <t>Which of the following electrolyte pairs correctly identifies the dominant cation in the Extracellular Fluid (ECF) and Intracellular Fluid (ICF), respectively?
A) ECF: Potassium (K+) | ICF: Sodium (Na+) | B) ECF: Sodium (Na+) | ICF: Potassium (K+) | C) ECF: Calcium (Ca2+) | ICF: Magnesium (Mg2+) | D) ECF: Chloride (Cl-) | ICF: Bicarbonate (HCO3-) | E) ECF: Phosphate (PO43-) | ICF: Sodium (Na+)</t>
        </is>
      </c>
      <c r="D10" s="21" t="n"/>
      <c r="E10" s="21" t="n"/>
      <c r="F10" s="21" t="n"/>
      <c r="G10" s="21" t="n"/>
      <c r="H10" s="22" t="n"/>
      <c r="I10" s="8">
        <f>IF(ISBLANK(H10), "", IF(H10='Answer Key &amp; Explanations'!C10, "✅ Correct Response", "❌ Incorrect (See Key)"))</f>
        <v/>
      </c>
    </row>
    <row r="11" ht="85" customHeight="1">
      <c r="A11" s="8" t="n">
        <v>3</v>
      </c>
      <c r="B11" s="20" t="inlineStr">
        <is>
          <t>Level 1: Must-Know (Basic)</t>
        </is>
      </c>
      <c r="C11" s="10" t="inlineStr">
        <is>
          <t>How is Total Body Water (TBW) distributed between the Extracellular Fluid (ECF) and Intracellular Fluid (ICF) compartments?
A) ECF: 1/3 of TBW (20% body weight) | ICF: 2/3 of TBW (40% body weight) | B) ECF: 2/3 of TBW (40% body weight) | ICF: 1/3 of TBW (20% body weight) | C) ECF: 1/2 of TBW (30% body weight) | ICF: 1/2 of TBW (30% body weight) | D) ECF: 1/4 of TBW (15% body weight) | ICF: 3/4 of TBW (45% body weight) | E) ECF: 1/10 of TBW (6% body weight) | ICF: 9/10 of TBW (54% body weight)</t>
        </is>
      </c>
      <c r="D11" s="21" t="n"/>
      <c r="E11" s="21" t="n"/>
      <c r="F11" s="21" t="n"/>
      <c r="G11" s="21" t="n"/>
      <c r="H11" s="22" t="n"/>
      <c r="I11" s="5">
        <f>IF(ISBLANK(H11), "", IF(H11='Answer Key &amp; Explanations'!C11, "✅ Correct Response", "❌ Incorrect (See Key)"))</f>
        <v/>
      </c>
    </row>
    <row r="12" ht="85" customHeight="1">
      <c r="A12" s="8" t="n">
        <v>4</v>
      </c>
      <c r="B12" s="20" t="inlineStr">
        <is>
          <t>Level 1: Must-Know (Basic)</t>
        </is>
      </c>
      <c r="C12" s="10" t="inlineStr">
        <is>
          <t>A patient with severe acute diarrhea presents with a serum sodium concentration of 122 mmol/L and plasma osmolality of 260 mOsm/L. How is this type of dehydration classified?
A) Isotonic dehydration | B) Hypertonic dehydration | C) Hypotonic dehydration (hypovolemic hyponatremia) | D) Normonatremic dehydration | E) Hypervolemic hyponatremia</t>
        </is>
      </c>
      <c r="D12" s="21" t="n"/>
      <c r="E12" s="21" t="n"/>
      <c r="F12" s="21" t="n"/>
      <c r="G12" s="21" t="n"/>
      <c r="H12" s="22" t="n"/>
      <c r="I12" s="8">
        <f>IF(ISBLANK(H12), "", IF(H12='Answer Key &amp; Explanations'!C12, "✅ Correct Response", "❌ Incorrect (See Key)"))</f>
        <v/>
      </c>
    </row>
    <row r="13" ht="85" customHeight="1">
      <c r="A13" s="8" t="n">
        <v>5</v>
      </c>
      <c r="B13" s="20" t="inlineStr">
        <is>
          <t>Level 1: Must-Know (Basic)</t>
        </is>
      </c>
      <c r="C13" s="10" t="inlineStr">
        <is>
          <t>What is the serum sodium concentration range that defines Isotonic Dehydration?
A) &lt; 120 mmol/L | B) &lt; 130 mmol/L | C) 130 to 150 mmol/L | D) 150 to 165 mmol/L | E) &gt; 165 mmol/L</t>
        </is>
      </c>
      <c r="D13" s="21" t="n"/>
      <c r="E13" s="21" t="n"/>
      <c r="F13" s="21" t="n"/>
      <c r="G13" s="21" t="n"/>
      <c r="H13" s="22" t="n"/>
      <c r="I13" s="5">
        <f>IF(ISBLANK(H13), "", IF(H13='Answer Key &amp; Explanations'!C13, "✅ Correct Response", "❌ Incorrect (See Key)"))</f>
        <v/>
      </c>
    </row>
    <row r="14" ht="85" customHeight="1">
      <c r="A14" s="8" t="n">
        <v>6</v>
      </c>
      <c r="B14" s="20" t="inlineStr">
        <is>
          <t>Level 1: Must-Know (Basic)</t>
        </is>
      </c>
      <c r="C14" s="10" t="inlineStr">
        <is>
          <t>A patient who was trapped in a hot desert without water for 3 days presents with severe thirst, fever, and confusion. Laboratory results show a serum sodium of 158 mmol/L and osmolality of 330 mOsm/L. What is the diagnosis?
A) Hypotonic dehydration | B) Isotonic dehydration | C) Hypertonic dehydration (hypovolemic hypernatremia) | D) Iso-osmolar fluid overload | E) Hypovolemic hyponatremia</t>
        </is>
      </c>
      <c r="D14" s="21" t="n"/>
      <c r="E14" s="21" t="n"/>
      <c r="F14" s="21" t="n"/>
      <c r="G14" s="21" t="n"/>
      <c r="H14" s="22" t="n"/>
      <c r="I14" s="8">
        <f>IF(ISBLANK(H14), "", IF(H14='Answer Key &amp; Explanations'!C14, "✅ Correct Response", "❌ Incorrect (See Key)"))</f>
        <v/>
      </c>
    </row>
    <row r="15" ht="85" customHeight="1">
      <c r="A15" s="8" t="n">
        <v>7</v>
      </c>
      <c r="B15" s="20" t="inlineStr">
        <is>
          <t>Level 1: Must-Know (Basic)</t>
        </is>
      </c>
      <c r="C15" s="10" t="inlineStr">
        <is>
          <t>Which of the following physical examination findings is a universal sign of extracellular fluid (ECF) volume depletion?
A) Pitting peripheral edema | B) Decreased skin turgor (skin tenting) and sunken eyes | C) Jugular venous distension (JVD) | D) Pulmonary rales/crackles | E) High blood pressure with bounding pulse</t>
        </is>
      </c>
      <c r="D15" s="21" t="n"/>
      <c r="E15" s="21" t="n"/>
      <c r="F15" s="21" t="n"/>
      <c r="G15" s="21" t="n"/>
      <c r="H15" s="22" t="n"/>
      <c r="I15" s="5">
        <f>IF(ISBLANK(H15), "", IF(H15='Answer Key &amp; Explanations'!C15, "✅ Correct Response", "❌ Incorrect (See Key)"))</f>
        <v/>
      </c>
    </row>
    <row r="16" ht="85" customHeight="1">
      <c r="A16" s="8" t="n">
        <v>8</v>
      </c>
      <c r="B16" s="20" t="inlineStr">
        <is>
          <t>Level 1: Must-Know (Basic)</t>
        </is>
      </c>
      <c r="C16" s="10" t="inlineStr">
        <is>
          <t>What is the primary organ responsible for regulated physiological water excretion in the human body?
A) Lungs (insensible evaporation) | B) Skin (sweat glands) | C) Gastrointestinal tract (feces) | D) Kidneys (urine output) | E) Salivary glands</t>
        </is>
      </c>
      <c r="D16" s="21" t="n"/>
      <c r="E16" s="21" t="n"/>
      <c r="F16" s="21" t="n"/>
      <c r="G16" s="21" t="n"/>
      <c r="H16" s="22" t="n"/>
      <c r="I16" s="8">
        <f>IF(ISBLANK(H16), "", IF(H16='Answer Key &amp; Explanations'!C16, "✅ Correct Response", "❌ Incorrect (See Key)"))</f>
        <v/>
      </c>
    </row>
    <row r="17" ht="85" customHeight="1">
      <c r="A17" s="8" t="n">
        <v>9</v>
      </c>
      <c r="B17" s="20" t="inlineStr">
        <is>
          <t>Level 1: Must-Know (Basic)</t>
        </is>
      </c>
      <c r="C17" s="10" t="inlineStr">
        <is>
          <t>How does an increased body fat content (obesity) affect the percentage of Total Body Water (TBW) relative to body weight?
A) Increases TBW percentage because fat tissue stores abundant water. | B) Decreases TBW percentage because adipose tissue has very low water content. | C) Has no effect on TBW percentage. | D) Doubles TBW percentage in both males and females. | E) Increases ICF water volume while eliminating ECF volume.</t>
        </is>
      </c>
      <c r="D17" s="21" t="n"/>
      <c r="E17" s="21" t="n"/>
      <c r="F17" s="21" t="n"/>
      <c r="G17" s="21" t="n"/>
      <c r="H17" s="22" t="n"/>
      <c r="I17" s="5">
        <f>IF(ISBLANK(H17), "", IF(H17='Answer Key &amp; Explanations'!C17, "✅ Correct Response", "❌ Incorrect (See Key)"))</f>
        <v/>
      </c>
    </row>
    <row r="18" ht="85" customHeight="1">
      <c r="A18" s="8" t="n">
        <v>10</v>
      </c>
      <c r="B18" s="20" t="inlineStr">
        <is>
          <t>Level 1: Must-Know (Basic)</t>
        </is>
      </c>
      <c r="C18" s="10" t="inlineStr">
        <is>
          <t>Which fluid sub-compartment constitutes approximately 1/4 of the Extracellular Fluid (ECF) volume (or ~5% of body weight)?
A) Intracellular fluid (ICF) | B) Interstitial fluid | C) Intravascular plasma volume | D) Transcellular fluid (CSF/synovial) | E) Lymphatic fluid</t>
        </is>
      </c>
      <c r="D18" s="21" t="n"/>
      <c r="E18" s="21" t="n"/>
      <c r="F18" s="21" t="n"/>
      <c r="G18" s="21" t="n"/>
      <c r="H18" s="22" t="n"/>
      <c r="I18" s="8">
        <f>IF(ISBLANK(H18), "", IF(H18='Answer Key &amp; Explanations'!C18, "✅ Correct Response", "❌ Incorrect (See Key)"))</f>
        <v/>
      </c>
    </row>
    <row r="19" ht="85" customHeight="1">
      <c r="A19" s="8" t="n">
        <v>11</v>
      </c>
      <c r="B19" s="20" t="inlineStr">
        <is>
          <t>Level 1: Must-Know (Basic)</t>
        </is>
      </c>
      <c r="C19" s="10" t="inlineStr">
        <is>
          <t>In an infant with severe gastroenteritis, loss of equal proportions of water and sodium results in which type of fluid disturbance?
A) Isotonic dehydration | B) Hypotonic dehydration | C) Hypertonic dehydration | D) Pure water excess | E) Hypernatremic dehydration</t>
        </is>
      </c>
      <c r="D19" s="21" t="n"/>
      <c r="E19" s="21" t="n"/>
      <c r="F19" s="21" t="n"/>
      <c r="G19" s="21" t="n"/>
      <c r="H19" s="22" t="n"/>
      <c r="I19" s="5">
        <f>IF(ISBLANK(H19), "", IF(H19='Answer Key &amp; Explanations'!C19, "✅ Correct Response", "❌ Incorrect (See Key)"))</f>
        <v/>
      </c>
    </row>
    <row r="20" ht="85" customHeight="1">
      <c r="A20" s="8" t="n">
        <v>12</v>
      </c>
      <c r="B20" s="20" t="inlineStr">
        <is>
          <t>Level 1: Must-Know (Basic)</t>
        </is>
      </c>
      <c r="C20" s="10" t="inlineStr">
        <is>
          <t>What is the normal physiological range for serum/plasma osmolality in humans?
A) 100 – 150 mOsm/kg | B) 200 – 250 mOsm/kg | C) 280 – 310 mOsm/kg | D) 350 – 400 mOsm/kg | E) 450 – 500 mOsm/kg</t>
        </is>
      </c>
      <c r="D20" s="21" t="n"/>
      <c r="E20" s="21" t="n"/>
      <c r="F20" s="21" t="n"/>
      <c r="G20" s="21" t="n"/>
      <c r="H20" s="22" t="n"/>
      <c r="I20" s="8">
        <f>IF(ISBLANK(H20), "", IF(H20='Answer Key &amp; Explanations'!C20, "✅ Correct Response", "❌ Incorrect (See Key)"))</f>
        <v/>
      </c>
    </row>
    <row r="21" ht="85" customHeight="1">
      <c r="A21" s="8" t="n">
        <v>13</v>
      </c>
      <c r="B21" s="20" t="inlineStr">
        <is>
          <t>Level 1: Must-Know (Basic)</t>
        </is>
      </c>
      <c r="C21" s="10" t="inlineStr">
        <is>
          <t>Which of the following conditions is a primary cause of pure water loss leading to Hypertonic Dehydration?
A) Profuse sweating without fluid replacement in a hot environment | B) Overuse of thiazide diuretics | C) Addison's disease (aldosterone deficiency) | D) Severe secretory diarrhea | E) Acute salt-wasting nephropathy</t>
        </is>
      </c>
      <c r="D21" s="21" t="n"/>
      <c r="E21" s="21" t="n"/>
      <c r="F21" s="21" t="n"/>
      <c r="G21" s="21" t="n"/>
      <c r="H21" s="22" t="n"/>
      <c r="I21" s="5">
        <f>IF(ISBLANK(H21), "", IF(H21='Answer Key &amp; Explanations'!C21, "✅ Correct Response", "❌ Incorrect (See Key)"))</f>
        <v/>
      </c>
    </row>
    <row r="22" ht="85" customHeight="1">
      <c r="A22" s="8" t="n">
        <v>14</v>
      </c>
      <c r="B22" s="20" t="inlineStr">
        <is>
          <t>Level 1: Must-Know (Basic)</t>
        </is>
      </c>
      <c r="C22" s="10" t="inlineStr">
        <is>
          <t>When a patient experiences fluid loss from vomiting or diarrhea, from which fluid compartment is the water directly withdrawn first?
A) Intracellular Fluid (ICF) | B) Extracellular Fluid (ECF) | C) Transcellular Fluid | D) Cerebrospinal Fluid | E) Nuclear matrix fluid</t>
        </is>
      </c>
      <c r="D22" s="21" t="n"/>
      <c r="E22" s="21" t="n"/>
      <c r="F22" s="21" t="n"/>
      <c r="G22" s="21" t="n"/>
      <c r="H22" s="22" t="n"/>
      <c r="I22" s="8">
        <f>IF(ISBLANK(H22), "", IF(H22='Answer Key &amp; Explanations'!C22, "✅ Correct Response", "❌ Incorrect (See Key)"))</f>
        <v/>
      </c>
    </row>
    <row r="23" ht="85" customHeight="1">
      <c r="A23" s="8" t="n">
        <v>15</v>
      </c>
      <c r="B23" s="20" t="inlineStr">
        <is>
          <t>Level 1: Must-Know (Basic)</t>
        </is>
      </c>
      <c r="C23" s="10" t="inlineStr">
        <is>
          <t>What clinical manifestation is specifically characteristic of severe pediatric dehydration during physical examination?
A) Depressed/sunken anterior fontanelle | B) Bulging anterior fontanelle | C) Hepatosplenomegaly | D) Ascites | E) Periorbital puffiness</t>
        </is>
      </c>
      <c r="D23" s="21" t="n"/>
      <c r="E23" s="21" t="n"/>
      <c r="F23" s="21" t="n"/>
      <c r="G23" s="21" t="n"/>
      <c r="H23" s="22" t="n"/>
      <c r="I23" s="5">
        <f>IF(ISBLANK(H23), "", IF(H23='Answer Key &amp; Explanations'!C23, "✅ Correct Response", "❌ Incorrect (See Key)"))</f>
        <v/>
      </c>
    </row>
    <row r="24" ht="85" customHeight="1">
      <c r="A24" s="8" t="n">
        <v>16</v>
      </c>
      <c r="B24" s="20" t="inlineStr">
        <is>
          <t>Level 2: Should-Know (Intermediate)</t>
        </is>
      </c>
      <c r="C24" s="10" t="inlineStr">
        <is>
          <t>What specific fluid shift occurs between compartments in Hypotonic Dehydration (hypovolemic hyponatremia)?
A) Water shifts from ICF into ECF, causing cellular shrinkage. | B) Water shifts from ECF into ICF, causing cellular swelling (edema). | C) Sodium shifts from ECF into ICF without water movement. | D) Proteins move from plasma into interstitial space. | E) No fluid movement occurs across the cell membrane.</t>
        </is>
      </c>
      <c r="D24" s="21" t="n"/>
      <c r="E24" s="21" t="n"/>
      <c r="F24" s="21" t="n"/>
      <c r="G24" s="21" t="n"/>
      <c r="H24" s="22" t="n"/>
      <c r="I24" s="8">
        <f>IF(ISBLANK(H24), "", IF(H24='Answer Key &amp; Explanations'!C24, "✅ Correct Response", "❌ Incorrect (See Key)"))</f>
        <v/>
      </c>
    </row>
    <row r="25" ht="85" customHeight="1">
      <c r="A25" s="8" t="n">
        <v>17</v>
      </c>
      <c r="B25" s="20" t="inlineStr">
        <is>
          <t>Level 2: Should-Know (Intermediate)</t>
        </is>
      </c>
      <c r="C25" s="10" t="inlineStr">
        <is>
          <t>What fluid movement occurs across cell membranes in Hypertonic Dehydration?
A) Water shifts from ECF into ICF, swelling brain cells. | B) Water shifts from ICF into ECF, causing cellular shrinkage (desiccation). | C) Sodium moves from ICF into ECF. | D) Fluid moves equally in both directions with zero net change. | E) Potassium enters the ECF to balance osmotic pressure.</t>
        </is>
      </c>
      <c r="D25" s="21" t="n"/>
      <c r="E25" s="21" t="n"/>
      <c r="F25" s="21" t="n"/>
      <c r="G25" s="21" t="n"/>
      <c r="H25" s="22" t="n"/>
      <c r="I25" s="5">
        <f>IF(ISBLANK(H25), "", IF(H25='Answer Key &amp; Explanations'!C25, "✅ Correct Response", "❌ Incorrect (See Key)"))</f>
        <v/>
      </c>
    </row>
    <row r="26" ht="85" customHeight="1">
      <c r="A26" s="8" t="n">
        <v>18</v>
      </c>
      <c r="B26" s="20" t="inlineStr">
        <is>
          <t>Level 2: Should-Know (Intermediate)</t>
        </is>
      </c>
      <c r="C26" s="10" t="inlineStr">
        <is>
          <t>Why are patients with Hypotonic Dehydration significantly more prone to early hypovolemic shock compared to patients with Hypertonic Dehydration?
A) High sodium levels paralyze vascular smooth muscle. | B) ECF volume is double-depleted: lost externally AND shifted internally into cells. | C) Hypertonic dehydration causes immediate cardiac arrest before shock develops. | D) Hypotonic dehydration increases blood viscosity, stopping circulation. | E) Water shifts out of cells into circulation, depleting blood volume.</t>
        </is>
      </c>
      <c r="D26" s="21" t="n"/>
      <c r="E26" s="21" t="n"/>
      <c r="F26" s="21" t="n"/>
      <c r="G26" s="21" t="n"/>
      <c r="H26" s="22" t="n"/>
      <c r="I26" s="8">
        <f>IF(ISBLANK(H26), "", IF(H26='Answer Key &amp; Explanations'!C26, "✅ Correct Response", "❌ Incorrect (See Key)"))</f>
        <v/>
      </c>
    </row>
    <row r="27" ht="85" customHeight="1">
      <c r="A27" s="8" t="n">
        <v>19</v>
      </c>
      <c r="B27" s="20" t="inlineStr">
        <is>
          <t>Level 2: Should-Know (Intermediate)</t>
        </is>
      </c>
      <c r="C27" s="10" t="inlineStr">
        <is>
          <t>How does chronic Loop or Thiazide Diuretic therapy lead to Hypotonic Dehydration if water intake is maintained?
A) Diuretics selectively block water reabsorption without affecting sodium. | B) Diuretics inhibit renal tubular sodium reabsorption, causing sodium loss to exceed water loss. | C) Diuretics stimulate aldosterone release, causing massive potassium retention. | D) Diuretics shut down aquaporin-2 channels in the collecting duct. | E) Diuretics cause excessive thirst, diluting the ICF exclusively.</t>
        </is>
      </c>
      <c r="D27" s="21" t="n"/>
      <c r="E27" s="21" t="n"/>
      <c r="F27" s="21" t="n"/>
      <c r="G27" s="21" t="n"/>
      <c r="H27" s="22" t="n"/>
      <c r="I27" s="5">
        <f>IF(ISBLANK(H27), "", IF(H27='Answer Key &amp; Explanations'!C27, "✅ Correct Response", "❌ Incorrect (See Key)"))</f>
        <v/>
      </c>
    </row>
    <row r="28" ht="85" customHeight="1">
      <c r="A28" s="8" t="n">
        <v>20</v>
      </c>
      <c r="B28" s="20" t="inlineStr">
        <is>
          <t>Level 2: Should-Know (Intermediate)</t>
        </is>
      </c>
      <c r="C28" s="10" t="inlineStr">
        <is>
          <t>Why does Addison's Disease (primary adrenal insufficiency) cause Hypotonic Dehydration?
A) Deficiency of aldosterone prevents renal sodium reabsorption, causing urinary sodium wasting. | B) Excess cortisol triggers massive free water excretion in renal tubules. | C) High ACTH levels directly inhibit thirst centers in the hypothalamus. | D) Absence of epinephrine causes peripheral vasodilation and sweating. | E) Aldosterone deficiency blocks intestinal glucose absorption.</t>
        </is>
      </c>
      <c r="D28" s="21" t="n"/>
      <c r="E28" s="21" t="n"/>
      <c r="F28" s="21" t="n"/>
      <c r="G28" s="21" t="n"/>
      <c r="H28" s="22" t="n"/>
      <c r="I28" s="8">
        <f>IF(ISBLANK(H28), "", IF(H28='Answer Key &amp; Explanations'!C28, "✅ Correct Response", "❌ Incorrect (See Key)"))</f>
        <v/>
      </c>
    </row>
    <row r="29" ht="85" customHeight="1">
      <c r="A29" s="8" t="n">
        <v>21</v>
      </c>
      <c r="B29" s="20" t="inlineStr">
        <is>
          <t>Level 2: Should-Know (Intermediate)</t>
        </is>
      </c>
      <c r="C29" s="10" t="inlineStr">
        <is>
          <t>In Central Diabetes Insipidus, what is the underlying mechanism responsible for causing severe Hypertonic Dehydration?
A) Insufficient ADH (Vasopressin) secretion leads to uncompensated excretion of dilute urine. | B) Overproduction of ADH causes massive renal sodium retention. | C) Renal insensitivity to aldosterone leads to salt wasting. | D) Destruction of renal principal cells prevents potassium excretion. | E) Excess thirst leads to water intoxication and hypernatremia.</t>
        </is>
      </c>
      <c r="D29" s="21" t="n"/>
      <c r="E29" s="21" t="n"/>
      <c r="F29" s="21" t="n"/>
      <c r="G29" s="21" t="n"/>
      <c r="H29" s="22" t="n"/>
      <c r="I29" s="5">
        <f>IF(ISBLANK(H29), "", IF(H29='Answer Key &amp; Explanations'!C29, "✅ Correct Response", "❌ Incorrect (See Key)"))</f>
        <v/>
      </c>
    </row>
    <row r="30" ht="85" customHeight="1">
      <c r="A30" s="8" t="n">
        <v>22</v>
      </c>
      <c r="B30" s="20" t="inlineStr">
        <is>
          <t>Level 2: Should-Know (Intermediate)</t>
        </is>
      </c>
      <c r="C30" s="10" t="inlineStr">
        <is>
          <t>What is the intravenous fluid of choice for acute emergency volume resuscitation in a hypotonic or isotonic hypovolemic shock state?
A) 5% Dextrose in Water (D5W) | B) 0.9% Normal Saline (Isotonic NaCl) | C) 3% Hypertonic Saline | D) Sterile Distilled Water | E) 0.45% Half-Normal Saline</t>
        </is>
      </c>
      <c r="D30" s="21" t="n"/>
      <c r="E30" s="21" t="n"/>
      <c r="F30" s="21" t="n"/>
      <c r="G30" s="21" t="n"/>
      <c r="H30" s="22" t="n"/>
      <c r="I30" s="8">
        <f>IF(ISBLANK(H30), "", IF(H30='Answer Key &amp; Explanations'!C30, "✅ Correct Response", "❌ Incorrect (See Key)"))</f>
        <v/>
      </c>
    </row>
    <row r="31" ht="85" customHeight="1">
      <c r="A31" s="8" t="n">
        <v>23</v>
      </c>
      <c r="B31" s="20" t="inlineStr">
        <is>
          <t>Level 2: Should-Know (Intermediate)</t>
        </is>
      </c>
      <c r="C31" s="10" t="inlineStr">
        <is>
          <t>Why must severe hypertonic dehydration be corrected SLOWLY over 24–48 hours rather than rapidly with hypotonic fluids?
A) Rapid rehydration triggers acute renal failure via vasoconstriction. | B) Rapid drop in ECF osmolality causes water to rush into idiogenic-osmole-loaded brain cells, causing fatal cerebral edema. | C) Slow rehydration causes severe cardiac arrhythmias. | D) Hypotonic fluids trigger acute systemic hemolysis of red blood cells. | E) Rapid glucose administration induces severe metabolic alkalosis.</t>
        </is>
      </c>
      <c r="D31" s="21" t="n"/>
      <c r="E31" s="21" t="n"/>
      <c r="F31" s="21" t="n"/>
      <c r="G31" s="21" t="n"/>
      <c r="H31" s="22" t="n"/>
      <c r="I31" s="5">
        <f>IF(ISBLANK(H31), "", IF(H31='Answer Key &amp; Explanations'!C31, "✅ Correct Response", "❌ Incorrect (See Key)"))</f>
        <v/>
      </c>
    </row>
    <row r="32" ht="85" customHeight="1">
      <c r="A32" s="8" t="n">
        <v>24</v>
      </c>
      <c r="B32" s="20" t="inlineStr">
        <is>
          <t>Level 2: Should-Know (Intermediate)</t>
        </is>
      </c>
      <c r="C32" s="10" t="inlineStr">
        <is>
          <t>Which clinical sign is uniquely prominent in severe Hypertonic Dehydration due to central nervous system cellular shrinkage?
A) Muscle flaccidity and hyporeflexia | B) CNS irritability, muscle twitching, hyperreflexia, and somnolence | C) Early circulatory shock with warm flushed skin | D) Massive pitting peripheral edema | E) Bradycardia and hypothermia</t>
        </is>
      </c>
      <c r="D32" s="21" t="n"/>
      <c r="E32" s="21" t="n"/>
      <c r="F32" s="21" t="n"/>
      <c r="G32" s="21" t="n"/>
      <c r="H32" s="22" t="n"/>
      <c r="I32" s="8">
        <f>IF(ISBLANK(H32), "", IF(H32='Answer Key &amp; Explanations'!C32, "✅ Correct Response", "❌ Incorrect (See Key)"))</f>
        <v/>
      </c>
    </row>
    <row r="33" ht="85" customHeight="1">
      <c r="A33" s="8" t="n">
        <v>25</v>
      </c>
      <c r="B33" s="20" t="inlineStr">
        <is>
          <t>Level 3: Advanced (Nice-to-Know)</t>
        </is>
      </c>
      <c r="C33" s="10" t="inlineStr">
        <is>
          <t>A patient with hypotonic dehydration has a spot urinary sodium level of 6 mmol/L (&lt;10 mmol/L). What does this laboratory value indicate regarding the etiology?
A) Renal sodium wasting (e.g., diuretic overuse or Addison's disease) | B) Extrarenal sodium loss (e.g., severe vomiting, diarrhea, or burns) with intact renal conservation | C) Acute tubular necrosis causing inability to reabsorb sodium | D) Syndrome of Inappropriate ADH secretion (SIADH) | E) High dietary sodium intake exceeding renal threshold</t>
        </is>
      </c>
      <c r="D33" s="21" t="n"/>
      <c r="E33" s="21" t="n"/>
      <c r="F33" s="21" t="n"/>
      <c r="G33" s="21" t="n"/>
      <c r="H33" s="22" t="n"/>
      <c r="I33" s="5">
        <f>IF(ISBLANK(H33), "", IF(H33='Answer Key &amp; Explanations'!C33, "✅ Correct Response", "❌ Incorrect (See Key)"))</f>
        <v/>
      </c>
    </row>
    <row r="34" ht="85" customHeight="1">
      <c r="A34" s="8" t="n">
        <v>26</v>
      </c>
      <c r="B34" s="20" t="inlineStr">
        <is>
          <t>Level 3: Advanced (Nice-to-Know)</t>
        </is>
      </c>
      <c r="C34" s="10" t="inlineStr">
        <is>
          <t>A spot urinary sodium level &gt;20 mmol/L in a patient with hypotonic dehydration points to which underlying pathological mechanism?
A) Extrarenal fluid loss from profuse sweating | B) Renal sodium wasting due to kidney damage, diuretics, or adrenal insufficiency | C) Maximum renal renin and aldosterone activation | D) Severe water intoxication with normal kidneys | E) Normal response to extrarenal severe diarrhea</t>
        </is>
      </c>
      <c r="D34" s="21" t="n"/>
      <c r="E34" s="21" t="n"/>
      <c r="F34" s="21" t="n"/>
      <c r="G34" s="21" t="n"/>
      <c r="H34" s="22" t="n"/>
      <c r="I34" s="8">
        <f>IF(ISBLANK(H34), "", IF(H34='Answer Key &amp; Explanations'!C34, "✅ Correct Response", "❌ Incorrect (See Key)"))</f>
        <v/>
      </c>
    </row>
    <row r="35" ht="85" customHeight="1">
      <c r="A35" s="8" t="n">
        <v>27</v>
      </c>
      <c r="B35" s="20" t="inlineStr">
        <is>
          <t>Level 3: Advanced (Nice-to-Know)</t>
        </is>
      </c>
      <c r="C35" s="10" t="inlineStr">
        <is>
          <t>What is the underlying physiological mechanism responsible for 'Dehydration Fever' in infants with hypertonic dehydration?
A) Direct stimulation of hypothalamic thermoregulatory set-point by elevated sodium. | B) Severe volume depletion impairs sweating and cutaneous heat dissipation. | C) Endogenous pyrogen release from shrunken brain astrocytes. | D) Bacterial translocation across the ischemic intestinal barrier. | E) Inhibition of thyroid hormone clearance in liver tissue.</t>
        </is>
      </c>
      <c r="D35" s="21" t="n"/>
      <c r="E35" s="21" t="n"/>
      <c r="F35" s="21" t="n"/>
      <c r="G35" s="21" t="n"/>
      <c r="H35" s="22" t="n"/>
      <c r="I35" s="5">
        <f>IF(ISBLANK(H35), "", IF(H35='Answer Key &amp; Explanations'!C35, "✅ Correct Response", "❌ Incorrect (See Key)"))</f>
        <v/>
      </c>
    </row>
    <row r="36" ht="85" customHeight="1">
      <c r="A36" s="8" t="n">
        <v>28</v>
      </c>
      <c r="B36" s="20" t="inlineStr">
        <is>
          <t>Level 3: Advanced (Nice-to-Know)</t>
        </is>
      </c>
      <c r="C36" s="10" t="inlineStr">
        <is>
          <t>In severe hypovolemic hypotonic dehydration, how does the body's homeostatic system respond to the conflicting signals of low osmolality vs. severe blood volume depletion?
A) Osmoreceptors completely suppress ADH, causing massive diuresis. | B) Non-osmotic baroreceptor signals override osmoreceptors, triggering massive ADH release to defend blood volume. | C) ANP secretion surges to excrete remaining sodium. | D) RAAS shuts down completely to preserve intracellular volume. | E) Thirst centers are inhibited to prevent hyponatremia.</t>
        </is>
      </c>
      <c r="D36" s="21" t="n"/>
      <c r="E36" s="21" t="n"/>
      <c r="F36" s="21" t="n"/>
      <c r="G36" s="21" t="n"/>
      <c r="H36" s="22" t="n"/>
      <c r="I36" s="8">
        <f>IF(ISBLANK(H36), "", IF(H36='Answer Key &amp; Explanations'!C36, "✅ Correct Response", "❌ Incorrect (See Key)"))</f>
        <v/>
      </c>
    </row>
    <row r="37" ht="85" customHeight="1">
      <c r="A37" s="8" t="n">
        <v>29</v>
      </c>
      <c r="B37" s="20" t="inlineStr">
        <is>
          <t>Level 3: Advanced (Nice-to-Know)</t>
        </is>
      </c>
      <c r="C37" s="10" t="inlineStr">
        <is>
          <t>How do plasma colloidal osmotic pressure (oncotic pressure) and crystalloid osmotic pressure differ in their functional role across fluid compartments?
A) Crystalloid pressure acts across capillary walls; oncotic pressure acts across cell membranes. | B) Plasma proteins (albumin) generate oncotic pressure holding fluid in capillaries; sodium drives crystalloid pressure moving water across cell membranes. | C) Oncotic pressure is governed by sodium; crystalloid pressure is governed by potassium. | D) Both pressures act identically across cell membranes without distinction. | E) Crystalloid pressure is present only in ICF; oncotic pressure is present only in transcellular fluid.</t>
        </is>
      </c>
      <c r="D37" s="21" t="n"/>
      <c r="E37" s="21" t="n"/>
      <c r="F37" s="21" t="n"/>
      <c r="G37" s="21" t="n"/>
      <c r="H37" s="22" t="n"/>
      <c r="I37" s="5">
        <f>IF(ISBLANK(H37), "", IF(H37='Answer Key &amp; Explanations'!C37, "✅ Correct Response", "❌ Incorrect (See Key)"))</f>
        <v/>
      </c>
    </row>
    <row r="38" ht="85" customHeight="1">
      <c r="A38" s="8" t="n">
        <v>30</v>
      </c>
      <c r="B38" s="20" t="inlineStr">
        <is>
          <t>Level 3: Advanced (Nice-to-Know)</t>
        </is>
      </c>
      <c r="C38" s="10" t="inlineStr">
        <is>
          <t>During physiological compensation for isotonic dehydration, how does the Renin-Angiotensin-Aldosterone System (RAAS) act to restore volume balance?
A) Angiotensin II causes renal vasodilation and aldosterone inhibits sodium reabsorption. | B) Renin cleavage of angiotensinogen leads to Angiotensin II vasoconstriction and Aldosterone insertion of ENaC channels in collecting ducts. | C) RAAS suppresses proximal tubule bicarbonate reabsorption. | D) Aldosterone stimulates renal excretion of both sodium and water. | E) Renin directly inserts aquaporin-4 channels into vascular endothelium.</t>
        </is>
      </c>
      <c r="D38" s="21" t="n"/>
      <c r="E38" s="21" t="n"/>
      <c r="F38" s="21" t="n"/>
      <c r="G38" s="21" t="n"/>
      <c r="H38" s="22" t="n"/>
      <c r="I38" s="8">
        <f>IF(ISBLANK(H38), "", IF(H38='Answer Key &amp; Explanations'!C38, "✅ Correct Response", "❌ Incorrect (See Key)"))</f>
        <v/>
      </c>
    </row>
  </sheetData>
  <mergeCells count="34">
    <mergeCell ref="C30:G30"/>
    <mergeCell ref="C34:G34"/>
    <mergeCell ref="C24:G24"/>
    <mergeCell ref="C15:G15"/>
    <mergeCell ref="C33:G33"/>
    <mergeCell ref="C14:G14"/>
    <mergeCell ref="C26:G26"/>
    <mergeCell ref="C29:G29"/>
    <mergeCell ref="C35:G35"/>
    <mergeCell ref="C20:G20"/>
    <mergeCell ref="C10:G10"/>
    <mergeCell ref="C16:G16"/>
    <mergeCell ref="C25:G25"/>
    <mergeCell ref="C31:G31"/>
    <mergeCell ref="C22:G22"/>
    <mergeCell ref="C9:G9"/>
    <mergeCell ref="B6:J6"/>
    <mergeCell ref="C21:G21"/>
    <mergeCell ref="C12:G12"/>
    <mergeCell ref="C11:G11"/>
    <mergeCell ref="C27:G27"/>
    <mergeCell ref="C36:G36"/>
    <mergeCell ref="B4:J4"/>
    <mergeCell ref="C23:G23"/>
    <mergeCell ref="C8:G8"/>
    <mergeCell ref="C17:G17"/>
    <mergeCell ref="C32:G32"/>
    <mergeCell ref="C38:G38"/>
    <mergeCell ref="C28:G28"/>
    <mergeCell ref="C19:G19"/>
    <mergeCell ref="C37:G37"/>
    <mergeCell ref="C13:G13"/>
    <mergeCell ref="C18:G18"/>
    <mergeCell ref="B2:J2"/>
  </mergeCells>
  <dataValidations count="1">
    <dataValidation sqref="H9 H10 H11 H12 H13 H14 H15 H16 H17 H18 H19 H20 H21 H22 H23 H24 H25 H26 H27 H28 H29 H30 H31 H32 H33 H34 H35 H36 H37 H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E38"/>
  <sheetViews>
    <sheetView showGridLines="0" workbookViewId="0">
      <selection activeCell="A1" sqref="A1"/>
    </sheetView>
  </sheetViews>
  <sheetFormatPr baseColWidth="8" defaultRowHeight="15"/>
  <cols>
    <col width="6" customWidth="1" min="1" max="1"/>
    <col width="24" customWidth="1" min="2" max="2"/>
    <col width="16" customWidth="1" min="3" max="3"/>
    <col width="85" customWidth="1" min="4" max="4"/>
  </cols>
  <sheetData>
    <row r="2" ht="35" customHeight="1">
      <c r="B2" s="1" t="inlineStr">
        <is>
          <t>MASTER ANSWER KEY &amp; PATHOPHYSIOLOGICAL RATIONALES</t>
        </is>
      </c>
    </row>
    <row r="3">
      <c r="B3" s="2" t="inlineStr">
        <is>
          <t>Instructor Portal | Detailed board-style clinical explanations for post-quiz review.</t>
        </is>
      </c>
    </row>
    <row r="8" ht="26" customHeight="1">
      <c r="A8" s="4" t="inlineStr">
        <is>
          <t>Q#</t>
        </is>
      </c>
      <c r="B8" s="4" t="inlineStr">
        <is>
          <t>Cognitive Tier</t>
        </is>
      </c>
      <c r="C8" s="4" t="inlineStr">
        <is>
          <t>Correct Choice</t>
        </is>
      </c>
      <c r="D8" s="4" t="inlineStr">
        <is>
          <t>Pathophysiological Rationale &amp; Clinical Mechanism</t>
        </is>
      </c>
    </row>
    <row r="9" ht="55" customHeight="1">
      <c r="A9" s="8" t="n">
        <v>1</v>
      </c>
      <c r="B9" s="20" t="inlineStr">
        <is>
          <t>Level 1: Must-Know (Basic)</t>
        </is>
      </c>
      <c r="C9" s="23" t="inlineStr">
        <is>
          <t>C</t>
        </is>
      </c>
      <c r="D9" s="7" t="inlineStr">
        <is>
          <t>In a normal adult, total body water (TBW) accounts for approximately 60% of body weight. This percentage varies with age, sex, and body fat content (higher in infants, lower in females and obese individuals).</t>
        </is>
      </c>
    </row>
    <row r="10" ht="55" customHeight="1">
      <c r="A10" s="8" t="n">
        <v>2</v>
      </c>
      <c r="B10" s="20" t="inlineStr">
        <is>
          <t>Level 1: Must-Know (Basic)</t>
        </is>
      </c>
      <c r="C10" s="23" t="inlineStr">
        <is>
          <t>B</t>
        </is>
      </c>
      <c r="D10" s="10" t="inlineStr">
        <is>
          <t>Sodium (Na+) is the primary cation in the extracellular fluid (ECF) responsible for maintaining ECF volume, whereas potassium (K+) is the dominant cation in the intracellular fluid (ICF).</t>
        </is>
      </c>
    </row>
    <row r="11" ht="55" customHeight="1">
      <c r="A11" s="8" t="n">
        <v>3</v>
      </c>
      <c r="B11" s="20" t="inlineStr">
        <is>
          <t>Level 1: Must-Know (Basic)</t>
        </is>
      </c>
      <c r="C11" s="23" t="inlineStr">
        <is>
          <t>A</t>
        </is>
      </c>
      <c r="D11" s="7" t="inlineStr">
        <is>
          <t>Total body water is divided into ICF (2/3 of TBW, or 40% of total body weight) and ECF (1/3 of TBW, or 20% of total body weight).</t>
        </is>
      </c>
    </row>
    <row r="12" ht="55" customHeight="1">
      <c r="A12" s="8" t="n">
        <v>4</v>
      </c>
      <c r="B12" s="20" t="inlineStr">
        <is>
          <t>Level 1: Must-Know (Basic)</t>
        </is>
      </c>
      <c r="C12" s="23" t="inlineStr">
        <is>
          <t>C</t>
        </is>
      </c>
      <c r="D12" s="10" t="inlineStr">
        <is>
          <t>Hypotonic dehydration occurs when sodium loss exceeds water loss, characterized by serum sodium &lt;130 mmol/L and plasma osmolality &lt;280 mOsm/L.</t>
        </is>
      </c>
    </row>
    <row r="13" ht="55" customHeight="1">
      <c r="A13" s="8" t="n">
        <v>5</v>
      </c>
      <c r="B13" s="20" t="inlineStr">
        <is>
          <t>Level 1: Must-Know (Basic)</t>
        </is>
      </c>
      <c r="C13" s="23" t="inlineStr">
        <is>
          <t>C</t>
        </is>
      </c>
      <c r="D13" s="7" t="inlineStr">
        <is>
          <t>Isotonic dehydration involves proportionate losses of water and sodium, maintaining serum sodium within the normal physiological range of 130–150 mmol/L and plasma osmolality between 280–310 mOsm/L.</t>
        </is>
      </c>
    </row>
    <row r="14" ht="55" customHeight="1">
      <c r="A14" s="8" t="n">
        <v>6</v>
      </c>
      <c r="B14" s="20" t="inlineStr">
        <is>
          <t>Level 1: Must-Know (Basic)</t>
        </is>
      </c>
      <c r="C14" s="23" t="inlineStr">
        <is>
          <t>C</t>
        </is>
      </c>
      <c r="D14" s="10" t="inlineStr">
        <is>
          <t>Hypertonic dehydration occurs when water loss exceeds sodium loss, resulting in serum sodium &gt;150 mmol/L and plasma osmolality &gt;310 mOsm/L.</t>
        </is>
      </c>
    </row>
    <row r="15" ht="55" customHeight="1">
      <c r="A15" s="8" t="n">
        <v>7</v>
      </c>
      <c r="B15" s="20" t="inlineStr">
        <is>
          <t>Level 1: Must-Know (Basic)</t>
        </is>
      </c>
      <c r="C15" s="23" t="inlineStr">
        <is>
          <t>B</t>
        </is>
      </c>
      <c r="D15" s="7" t="inlineStr">
        <is>
          <t>Extracellular fluid volume deficit manifests as decreased skin turgor, sunken fontanelles in infants, sunken eyeballs, dry mucous membranes, and postural hypotension.</t>
        </is>
      </c>
    </row>
    <row r="16" ht="55" customHeight="1">
      <c r="A16" s="8" t="n">
        <v>8</v>
      </c>
      <c r="B16" s="20" t="inlineStr">
        <is>
          <t>Level 1: Must-Know (Basic)</t>
        </is>
      </c>
      <c r="C16" s="23" t="inlineStr">
        <is>
          <t>D</t>
        </is>
      </c>
      <c r="D16" s="10" t="inlineStr">
        <is>
          <t>While lungs, skin, and GI tract contribute to water loss, the kidneys are the primary regulatory organs that dynamically adjust urine volume and osmolality to maintain fluid homeostasis.</t>
        </is>
      </c>
    </row>
    <row r="17" ht="55" customHeight="1">
      <c r="A17" s="8" t="n">
        <v>9</v>
      </c>
      <c r="B17" s="20" t="inlineStr">
        <is>
          <t>Level 1: Must-Know (Basic)</t>
        </is>
      </c>
      <c r="C17" s="23" t="inlineStr">
        <is>
          <t>B</t>
        </is>
      </c>
      <c r="D17" s="7" t="inlineStr">
        <is>
          <t>Adipose tissue is essentially water-free (~10% water) compared to lean muscle tissue (~75% water). Therefore, obese individuals have a significantly lower TBW percentage compared to lean individuals.</t>
        </is>
      </c>
    </row>
    <row r="18" ht="55" customHeight="1">
      <c r="A18" s="8" t="n">
        <v>10</v>
      </c>
      <c r="B18" s="20" t="inlineStr">
        <is>
          <t>Level 1: Must-Know (Basic)</t>
        </is>
      </c>
      <c r="C18" s="23" t="inlineStr">
        <is>
          <t>C</t>
        </is>
      </c>
      <c r="D18" s="10" t="inlineStr">
        <is>
          <t>ECF is divided into Interstitial Fluid (3/4 of ECF, ~15% of body weight) and Intravascular Plasma (1/4 of ECF, ~5% of body weight).</t>
        </is>
      </c>
    </row>
    <row r="19" ht="55" customHeight="1">
      <c r="A19" s="8" t="n">
        <v>11</v>
      </c>
      <c r="B19" s="20" t="inlineStr">
        <is>
          <t>Level 1: Must-Know (Basic)</t>
        </is>
      </c>
      <c r="C19" s="23" t="inlineStr">
        <is>
          <t>A</t>
        </is>
      </c>
      <c r="D19" s="7" t="inlineStr">
        <is>
          <t>Balanced loss of solute and water maintains normal serum sodium concentrations (130–150 mmol/L), producing isotonic dehydration.</t>
        </is>
      </c>
    </row>
    <row r="20" ht="55" customHeight="1">
      <c r="A20" s="8" t="n">
        <v>12</v>
      </c>
      <c r="B20" s="20" t="inlineStr">
        <is>
          <t>Level 1: Must-Know (Basic)</t>
        </is>
      </c>
      <c r="C20" s="23" t="inlineStr">
        <is>
          <t>C</t>
        </is>
      </c>
      <c r="D20" s="10" t="inlineStr">
        <is>
          <t>Normal plasma osmolality is strictly maintained between 280 and 310 mOsm/kg (or mOsm/L), primarily governed by sodium, glucose, and urea concentrations.</t>
        </is>
      </c>
    </row>
    <row r="21" ht="55" customHeight="1">
      <c r="A21" s="8" t="n">
        <v>13</v>
      </c>
      <c r="B21" s="20" t="inlineStr">
        <is>
          <t>Level 1: Must-Know (Basic)</t>
        </is>
      </c>
      <c r="C21" s="23" t="inlineStr">
        <is>
          <t>A</t>
        </is>
      </c>
      <c r="D21" s="7" t="inlineStr">
        <is>
          <t>Excessive sweating or inadequate water intake in high temperatures causes evaporative water loss exceeding solute loss, leading to hypertonic dehydration.</t>
        </is>
      </c>
    </row>
    <row r="22" ht="55" customHeight="1">
      <c r="A22" s="8" t="n">
        <v>14</v>
      </c>
      <c r="B22" s="20" t="inlineStr">
        <is>
          <t>Level 1: Must-Know (Basic)</t>
        </is>
      </c>
      <c r="C22" s="23" t="inlineStr">
        <is>
          <t>B</t>
        </is>
      </c>
      <c r="D22" s="10" t="inlineStr">
        <is>
          <t>All external fluid losses (GI tract, skin, kidneys) directly tap into and deplete the Extracellular Fluid (ECF) compartment first.</t>
        </is>
      </c>
    </row>
    <row r="23" ht="55" customHeight="1">
      <c r="A23" s="8" t="n">
        <v>15</v>
      </c>
      <c r="B23" s="20" t="inlineStr">
        <is>
          <t>Level 1: Must-Know (Basic)</t>
        </is>
      </c>
      <c r="C23" s="23" t="inlineStr">
        <is>
          <t>A</t>
        </is>
      </c>
      <c r="D23" s="7" t="inlineStr">
        <is>
          <t>A sunken anterior fontanelle in infants is a classic physical sign of significant ECF volume depletion and dehydration.</t>
        </is>
      </c>
    </row>
    <row r="24" ht="55" customHeight="1">
      <c r="A24" s="8" t="n">
        <v>16</v>
      </c>
      <c r="B24" s="20" t="inlineStr">
        <is>
          <t>Level 2: Should-Know (Intermediate)</t>
        </is>
      </c>
      <c r="C24" s="23" t="inlineStr">
        <is>
          <t>B</t>
        </is>
      </c>
      <c r="D24" s="10" t="inlineStr">
        <is>
          <t>Because ECF osmolality drops below ICF osmolality (&lt;280 mOsm/L), water moves along the osmotic gradient from ECF into cells (ICF), causing intracellular swelling and further depleting ECF volume.</t>
        </is>
      </c>
    </row>
    <row r="25" ht="55" customHeight="1">
      <c r="A25" s="8" t="n">
        <v>17</v>
      </c>
      <c r="B25" s="20" t="inlineStr">
        <is>
          <t>Level 2: Should-Know (Intermediate)</t>
        </is>
      </c>
      <c r="C25" s="23" t="inlineStr">
        <is>
          <t>B</t>
        </is>
      </c>
      <c r="D25" s="7" t="inlineStr">
        <is>
          <t>Elevated ECF osmolality (&gt;310 mOsm/L) exerts an osmotic pull, drawing water out of the intracellular space (ICF) into the ECF, resulting in cellular dehydration and neuronal shrinkage.</t>
        </is>
      </c>
    </row>
    <row r="26" ht="55" customHeight="1">
      <c r="A26" s="8" t="n">
        <v>18</v>
      </c>
      <c r="B26" s="20" t="inlineStr">
        <is>
          <t>Level 2: Should-Know (Intermediate)</t>
        </is>
      </c>
      <c r="C26" s="23" t="inlineStr">
        <is>
          <t>B</t>
        </is>
      </c>
      <c r="D26" s="10" t="inlineStr">
        <is>
          <t>In hypotonic dehydration, ECF volume suffers a 'double hit': fluid is lost to the environment AND remaining water shifts into cells due to low ECF osmolality, precipitating rapid vascular collapse and early shock.</t>
        </is>
      </c>
    </row>
    <row r="27" ht="55" customHeight="1">
      <c r="A27" s="8" t="n">
        <v>19</v>
      </c>
      <c r="B27" s="20" t="inlineStr">
        <is>
          <t>Level 2: Should-Know (Intermediate)</t>
        </is>
      </c>
      <c r="C27" s="23" t="inlineStr">
        <is>
          <t>B</t>
        </is>
      </c>
      <c r="D27" s="7" t="inlineStr">
        <is>
          <t>Diuretics inhibit renal sodium reabsorption in the nephron, forcing excessive urinary sodium excretion relative to water, driving hypotonic dehydration.</t>
        </is>
      </c>
    </row>
    <row r="28" ht="55" customHeight="1">
      <c r="A28" s="8" t="n">
        <v>20</v>
      </c>
      <c r="B28" s="20" t="inlineStr">
        <is>
          <t>Level 2: Should-Know (Intermediate)</t>
        </is>
      </c>
      <c r="C28" s="23" t="inlineStr">
        <is>
          <t>A</t>
        </is>
      </c>
      <c r="D28" s="10" t="inlineStr">
        <is>
          <t>Aldosterone stimulates renal sodium reabsorption (via ENaC/Na+-K+ ATPase). In Addison's disease, lack of aldosterone leads to uncompensated renal sodium wasting, resulting in hypotonic dehydration.</t>
        </is>
      </c>
    </row>
    <row r="29" ht="55" customHeight="1">
      <c r="A29" s="8" t="n">
        <v>21</v>
      </c>
      <c r="B29" s="20" t="inlineStr">
        <is>
          <t>Level 2: Should-Know (Intermediate)</t>
        </is>
      </c>
      <c r="C29" s="23" t="inlineStr">
        <is>
          <t>A</t>
        </is>
      </c>
      <c r="D29" s="7" t="inlineStr">
        <is>
          <t>Central DI is caused by lack of ADH release from the posterior pituitary, preventing aquaporin-2 insertion in collecting ducts, causing massive hypotonic polyuria and hypertonic dehydration.</t>
        </is>
      </c>
    </row>
    <row r="30" ht="55" customHeight="1">
      <c r="A30" s="8" t="n">
        <v>22</v>
      </c>
      <c r="B30" s="20" t="inlineStr">
        <is>
          <t>Level 2: Should-Know (Intermediate)</t>
        </is>
      </c>
      <c r="C30" s="23" t="inlineStr">
        <is>
          <t>B</t>
        </is>
      </c>
      <c r="D30" s="10" t="inlineStr">
        <is>
          <t>0.9% Normal Saline is an isotonic crystalloid that remains within the ECF compartment, rapidly restoring intravascular volume and blood pressure without causing sudden osmotic fluid shifts.</t>
        </is>
      </c>
    </row>
    <row r="31" ht="55" customHeight="1">
      <c r="A31" s="8" t="n">
        <v>23</v>
      </c>
      <c r="B31" s="20" t="inlineStr">
        <is>
          <t>Level 2: Should-Know (Intermediate)</t>
        </is>
      </c>
      <c r="C31" s="23" t="inlineStr">
        <is>
          <t>B</t>
        </is>
      </c>
      <c r="D31" s="7" t="inlineStr">
        <is>
          <t>Brain cells adapt to hypertonicity by producing intracellular idiogenic osmoles. Rapidly lowering ECF osmolality causes massive water influx into brain cells, leading to cerebral edema, seizures, and herniation.</t>
        </is>
      </c>
    </row>
    <row r="32" ht="55" customHeight="1">
      <c r="A32" s="8" t="n">
        <v>24</v>
      </c>
      <c r="B32" s="20" t="inlineStr">
        <is>
          <t>Level 2: Should-Know (Intermediate)</t>
        </is>
      </c>
      <c r="C32" s="23" t="inlineStr">
        <is>
          <t>B</t>
        </is>
      </c>
      <c r="D32" s="10" t="inlineStr">
        <is>
          <t>Cellular desiccation and shrinkage of brain neurons in hypertonic dehydration manifest as CNS hyperexcitability, twitching, hyperreflexia, disorientation, and lethargy.</t>
        </is>
      </c>
    </row>
    <row r="33" ht="55" customHeight="1">
      <c r="A33" s="8" t="n">
        <v>25</v>
      </c>
      <c r="B33" s="20" t="inlineStr">
        <is>
          <t>Level 3: Advanced (Nice-to-Know)</t>
        </is>
      </c>
      <c r="C33" s="23" t="inlineStr">
        <is>
          <t>B</t>
        </is>
      </c>
      <c r="D33" s="7" t="inlineStr">
        <is>
          <t>Urinary Na+ &lt;10 mmol/L confirms that the kidneys are responding normally to hypovolemia by maximally reabsorbing sodium, pointing to extrarenal sodium loss (GI tract or skin).</t>
        </is>
      </c>
    </row>
    <row r="34" ht="55" customHeight="1">
      <c r="A34" s="8" t="n">
        <v>26</v>
      </c>
      <c r="B34" s="20" t="inlineStr">
        <is>
          <t>Level 3: Advanced (Nice-to-Know)</t>
        </is>
      </c>
      <c r="C34" s="23" t="inlineStr">
        <is>
          <t>B</t>
        </is>
      </c>
      <c r="D34" s="10" t="inlineStr">
        <is>
          <t>Urinary Na+ &gt;20 mmol/L during hypovolemic hypotonic dehydration indicates renal sodium wasting (the kidney itself is failing to conserve sodium, e.g. due to diuretics, renal disease, or lack of aldosterone).</t>
        </is>
      </c>
    </row>
    <row r="35" ht="55" customHeight="1">
      <c r="A35" s="8" t="n">
        <v>27</v>
      </c>
      <c r="B35" s="20" t="inlineStr">
        <is>
          <t>Level 3: Advanced (Nice-to-Know)</t>
        </is>
      </c>
      <c r="C35" s="23" t="inlineStr">
        <is>
          <t>B</t>
        </is>
      </c>
      <c r="D35" s="7" t="inlineStr">
        <is>
          <t>Dehydration fever occurs because profound water deficit causes extreme peripheral vasoconstriction and suppresses perspiration, disabling the body's evaporative heat dissipation mechanisms.</t>
        </is>
      </c>
    </row>
    <row r="36" ht="55" customHeight="1">
      <c r="A36" s="8" t="n">
        <v>28</v>
      </c>
      <c r="B36" s="20" t="inlineStr">
        <is>
          <t>Level 3: Advanced (Nice-to-Know)</t>
        </is>
      </c>
      <c r="C36" s="23" t="inlineStr">
        <is>
          <t>B</t>
        </is>
      </c>
      <c r="D36" s="10" t="inlineStr">
        <is>
          <t>When ECF volume depletion exceeds 10–15%, hemodynamic baroreceptors trigger non-osmotic ADH release that overrides osmoreceptor inhibition, defending intravascular volume at the expense of osmolality.</t>
        </is>
      </c>
    </row>
    <row r="37" ht="55" customHeight="1">
      <c r="A37" s="8" t="n">
        <v>29</v>
      </c>
      <c r="B37" s="20" t="inlineStr">
        <is>
          <t>Level 3: Advanced (Nice-to-Know)</t>
        </is>
      </c>
      <c r="C37" s="23" t="inlineStr">
        <is>
          <t>B</t>
        </is>
      </c>
      <c r="D37" s="7" t="inlineStr">
        <is>
          <t>Colloid oncotic pressure (generated by plasma albumin) governs fluid exchange across capillary endothelium (Starling forces), whereas crystalloid osmotic pressure (driven by sodium) governs fluid shifts across cell membranes.</t>
        </is>
      </c>
    </row>
    <row r="38" ht="55" customHeight="1">
      <c r="A38" s="8" t="n">
        <v>30</v>
      </c>
      <c r="B38" s="20" t="inlineStr">
        <is>
          <t>Level 3: Advanced (Nice-to-Know)</t>
        </is>
      </c>
      <c r="C38" s="23" t="inlineStr">
        <is>
          <t>B</t>
        </is>
      </c>
      <c r="D38" s="10" t="inlineStr">
        <is>
          <t>Renal hypoperfusion activates RAAS: Angiotensin II causes systemic vasoconstriction and stimulates aldosterone, which upregulates apical ENaC channels and basolateral Na+-K+ ATPase in principal cells to maximize renal sodium and water retention.</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2026-09-09T06:27:21Z</dcterms:created>
  <dcterms:modified xmlns:dcterms="http://purl.org/dc/terms/" xmlns:xsi="http://www.w3.org/2001/XMLSchema-instance" xsi:type="dcterms:W3CDTF">2026-09-09T06:27:21Z</dcterms:modified>
</cp:coreProperties>
</file>