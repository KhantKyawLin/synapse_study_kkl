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Calibri"/>
      <b val="1"/>
      <color rgb="002F5496"/>
      <sz val="16"/>
    </font>
    <font>
      <name val="Calibri"/>
      <i val="1"/>
      <sz val="10"/>
    </font>
    <font>
      <name val="Calibri"/>
      <b val="1"/>
      <color rgb="00FFFFFF"/>
      <sz val="12"/>
    </font>
    <font>
      <name val="Calibri"/>
      <b val="1"/>
      <color rgb="00FFFFFF"/>
      <sz val="11"/>
    </font>
    <font>
      <name val="Calibri"/>
      <b val="1"/>
      <sz val="11"/>
    </font>
    <font>
      <name val="Calibri"/>
      <sz val="11"/>
    </font>
  </fonts>
  <fills count="7">
    <fill>
      <patternFill/>
    </fill>
    <fill>
      <patternFill patternType="gray125"/>
    </fill>
    <fill>
      <patternFill patternType="solid">
        <fgColor rgb="004472C4"/>
        <bgColor rgb="004472C4"/>
      </patternFill>
    </fill>
    <fill>
      <patternFill patternType="solid">
        <fgColor rgb="002F5496"/>
        <bgColor rgb="002F5496"/>
      </patternFill>
    </fill>
    <fill>
      <patternFill patternType="solid">
        <fgColor rgb="00F2F2F2"/>
        <bgColor rgb="00F2F2F2"/>
      </patternFill>
    </fill>
    <fill>
      <patternFill patternType="solid">
        <fgColor rgb="00DCE6F1"/>
        <bgColor rgb="00DCE6F1"/>
      </patternFill>
    </fill>
    <fill>
      <patternFill patternType="solid">
        <fgColor rgb="00E2EFDA"/>
        <bgColor rgb="00E2EFDA"/>
      </patternFill>
    </fill>
  </fills>
  <borders count="3">
    <border>
      <left/>
      <right/>
      <top/>
      <bottom/>
      <diagonal/>
    </border>
    <border>
      <bottom style="medium">
        <color rgb="002F5496"/>
      </bottom>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3" borderId="1" applyAlignment="1" pivotButton="0" quotePrefix="0" xfId="0">
      <alignment horizontal="center" vertical="center"/>
    </xf>
    <xf numFmtId="0" fontId="5" fillId="0" borderId="2" applyAlignment="1" pivotButton="0" quotePrefix="0" xfId="0">
      <alignment horizontal="left" vertical="center"/>
    </xf>
    <xf numFmtId="0" fontId="6" fillId="0" borderId="2" applyAlignment="1" pivotButton="0" quotePrefix="0" xfId="0">
      <alignment horizontal="left" vertical="center"/>
    </xf>
    <xf numFmtId="0" fontId="5" fillId="4" borderId="2" applyAlignment="1" pivotButton="0" quotePrefix="0" xfId="0">
      <alignment horizontal="left" vertical="center"/>
    </xf>
    <xf numFmtId="0" fontId="6" fillId="4" borderId="2" applyAlignment="1" pivotButton="0" quotePrefix="0" xfId="0">
      <alignment horizontal="left" vertical="center"/>
    </xf>
    <xf numFmtId="0" fontId="4" fillId="3" borderId="2" applyAlignment="1" pivotButton="0" quotePrefix="0" xfId="0">
      <alignment horizontal="center" vertical="center"/>
    </xf>
    <xf numFmtId="0" fontId="5" fillId="5" borderId="2" applyAlignment="1" pivotButton="0" quotePrefix="0" xfId="0">
      <alignment horizontal="left" vertical="center"/>
    </xf>
    <xf numFmtId="0" fontId="5" fillId="6" borderId="2" applyAlignment="1" pivotButton="0" quotePrefix="0" xfId="0">
      <alignment horizontal="left" vertical="center"/>
    </xf>
    <xf numFmtId="3" fontId="5" fillId="6" borderId="2" applyAlignment="1" pivotButton="0" quotePrefix="0" xfId="0">
      <alignment horizontal="center" vertical="center"/>
    </xf>
    <xf numFmtId="164" fontId="5" fillId="6" borderId="2" applyAlignment="1" pivotButton="0" quotePrefix="0" xfId="0">
      <alignment horizontal="center" vertical="center"/>
    </xf>
    <xf numFmtId="0" fontId="0" fillId="0" borderId="2" applyAlignment="1" pivotButton="0" quotePrefix="0" xfId="0">
      <alignment horizontal="center" vertical="center"/>
    </xf>
    <xf numFmtId="0" fontId="0" fillId="0" borderId="2" applyAlignment="1" pivotButton="0" quotePrefix="0" xfId="0">
      <alignment horizontal="left" vertical="center" wrapText="1"/>
    </xf>
    <xf numFmtId="0" fontId="5" fillId="5" borderId="2" applyAlignment="1" pivotButton="0" quotePrefix="0" xfId="0">
      <alignment horizontal="center" vertical="center"/>
    </xf>
    <xf numFmtId="0" fontId="5" fillId="6" borderId="2" applyAlignment="1" pivotButton="0" quotePrefix="0" xfId="0">
      <alignment horizontal="center" vertical="center"/>
    </xf>
    <xf numFmtId="0" fontId="0" fillId="4" borderId="2" applyAlignment="1" pivotButton="0" quotePrefix="0" xfId="0">
      <alignment horizontal="center" vertical="center"/>
    </xf>
    <xf numFmtId="0" fontId="0" fillId="4" borderId="2" applyAlignment="1" pivotButton="0" quotePrefix="0" xfId="0">
      <alignment horizontal="left" vertical="center" wrapText="1"/>
    </xf>
    <xf numFmtId="0" fontId="6" fillId="0" borderId="2" applyAlignment="1" pivotButton="0" quotePrefix="0" xfId="0">
      <alignment horizontal="center" vertical="center"/>
    </xf>
    <xf numFmtId="0" fontId="5" fillId="0" borderId="2" applyAlignment="1" pivotButton="0" quotePrefix="0" xfId="0">
      <alignment horizontal="center" vertical="center"/>
    </xf>
    <xf numFmtId="0" fontId="6" fillId="0" borderId="2" applyAlignment="1" pivotButton="0" quotePrefix="0" xfId="0">
      <alignment horizontal="left" vertical="center" wrapText="1"/>
    </xf>
    <xf numFmtId="0" fontId="6" fillId="4" borderId="2" applyAlignment="1" pivotButton="0" quotePrefix="0" xfId="0">
      <alignment horizontal="center" vertical="center"/>
    </xf>
    <xf numFmtId="0" fontId="5" fillId="4" borderId="2" applyAlignment="1" pivotButton="0" quotePrefix="0" xfId="0">
      <alignment horizontal="center" vertical="center"/>
    </xf>
    <xf numFmtId="0" fontId="6" fillId="4"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16"/>
  <sheetViews>
    <sheetView showGridLines="0" workbookViewId="0">
      <selection activeCell="A1" sqref="A1"/>
    </sheetView>
  </sheetViews>
  <sheetFormatPr baseColWidth="8" defaultRowHeight="15"/>
  <cols>
    <col width="28" customWidth="1" min="1" max="1"/>
    <col width="35" customWidth="1" min="2" max="2"/>
    <col width="50" customWidth="1" min="3" max="3"/>
  </cols>
  <sheetData>
    <row r="2">
      <c r="A2" s="1" t="inlineStr">
        <is>
          <t>Pathophysiology Courseware</t>
        </is>
      </c>
    </row>
    <row r="3">
      <c r="A3" s="2" t="inlineStr">
        <is>
          <t>Section 2 Interactive Assessment System | Version 2.0 (Step-Down Difficulty)</t>
        </is>
      </c>
    </row>
    <row r="5" ht="25" customHeight="1">
      <c r="A5" s="3" t="inlineStr">
        <is>
          <t>COURSEWARE DIRECTORY</t>
        </is>
      </c>
    </row>
    <row r="6" ht="20" customHeight="1">
      <c r="A6" s="4" t="inlineStr">
        <is>
          <t>Sheet Name</t>
        </is>
      </c>
      <c r="B6" s="4" t="inlineStr">
        <is>
          <t>Description</t>
        </is>
      </c>
      <c r="C6" s="4" t="inlineStr">
        <is>
          <t>Target Audience / Usage</t>
        </is>
      </c>
    </row>
    <row r="7" ht="20" customHeight="1">
      <c r="A7" s="5" t="inlineStr">
        <is>
          <t>Table of Contents</t>
        </is>
      </c>
      <c r="B7" s="6" t="inlineStr">
        <is>
          <t>Overview of the self-grading system and visual styling legend.</t>
        </is>
      </c>
      <c r="C7" s="6" t="inlineStr">
        <is>
          <t>Students &amp; Instructors</t>
        </is>
      </c>
    </row>
    <row r="8" ht="20" customHeight="1">
      <c r="A8" s="7" t="inlineStr">
        <is>
          <t>Interactive Quiz</t>
        </is>
      </c>
      <c r="B8" s="8" t="inlineStr">
        <is>
          <t>40 interactive, board-style multiple-choice questions with real-time scoring.</t>
        </is>
      </c>
      <c r="C8" s="8" t="inlineStr">
        <is>
          <t>Socratic Student Portal</t>
        </is>
      </c>
    </row>
    <row r="9" ht="20" customHeight="1">
      <c r="A9" s="5" t="inlineStr">
        <is>
          <t>Answer Key &amp; Explanations</t>
        </is>
      </c>
      <c r="B9" s="6" t="inlineStr">
        <is>
          <t>Detailed, textbook-grounded physiological rationales for all 40 questions.</t>
        </is>
      </c>
      <c r="C9" s="6" t="inlineStr">
        <is>
          <t>Self-Review / Instructor Portal</t>
        </is>
      </c>
    </row>
    <row r="12" ht="25" customHeight="1">
      <c r="A12" s="3" t="inlineStr">
        <is>
          <t>SPREADSHEET COLOR-CODING CONVENTIONS</t>
        </is>
      </c>
    </row>
    <row r="13" ht="20" customHeight="1">
      <c r="A13" s="9" t="inlineStr">
        <is>
          <t>Visual Style</t>
        </is>
      </c>
      <c r="B13" s="9" t="inlineStr">
        <is>
          <t>Cell Color / Design</t>
        </is>
      </c>
      <c r="C13" s="9" t="inlineStr">
        <is>
          <t>Pedagogical Meaning / Action Required</t>
        </is>
      </c>
    </row>
    <row r="14" ht="20" customHeight="1">
      <c r="A14" s="6" t="inlineStr">
        <is>
          <t>Editable Student Input</t>
        </is>
      </c>
      <c r="B14" s="10" t="inlineStr">
        <is>
          <t>Light Blue Fill</t>
        </is>
      </c>
      <c r="C14" s="6" t="inlineStr">
        <is>
          <t>Editable cells. Input your multiple-choice selection (A, B, C, D, or E) here.</t>
        </is>
      </c>
    </row>
    <row r="15" ht="20" customHeight="1">
      <c r="A15" s="8" t="inlineStr">
        <is>
          <t>Automated Formula Cell</t>
        </is>
      </c>
      <c r="B15" s="11" t="inlineStr">
        <is>
          <t>Light Green Fill</t>
        </is>
      </c>
      <c r="C15" s="8" t="inlineStr">
        <is>
          <t>Read-only output cell. Automatically computes scores, percentages, and correct/incorrect tags.</t>
        </is>
      </c>
    </row>
    <row r="16" ht="20" customHeight="1">
      <c r="A16" s="6" t="inlineStr">
        <is>
          <t>Static Labels / Text</t>
        </is>
      </c>
      <c r="B16" s="8" t="inlineStr">
        <is>
          <t>Plain Text / Zebra Gray</t>
        </is>
      </c>
      <c r="C16" s="6" t="inlineStr">
        <is>
          <t>Instructional text, questions, and option labels. Do not edit these cells.</t>
        </is>
      </c>
    </row>
  </sheetData>
  <mergeCells count="2">
    <mergeCell ref="A5:C5"/>
    <mergeCell ref="A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50"/>
  <sheetViews>
    <sheetView showGridLines="0" workbookViewId="0">
      <selection activeCell="A1" sqref="A1"/>
    </sheetView>
  </sheetViews>
  <sheetFormatPr baseColWidth="8" defaultRowHeight="15"/>
  <cols>
    <col width="8" customWidth="1" min="1" max="1"/>
    <col width="25" customWidth="1" min="2" max="2"/>
    <col width="45" customWidth="1" min="3" max="3"/>
    <col width="22" customWidth="1" min="4" max="4"/>
    <col width="22" customWidth="1" min="5" max="5"/>
    <col width="22" customWidth="1" min="6" max="6"/>
    <col width="22" customWidth="1" min="7" max="7"/>
    <col width="22" customWidth="1" min="8" max="8"/>
    <col width="15" customWidth="1" min="9" max="9"/>
    <col width="22" customWidth="1" min="10" max="10"/>
  </cols>
  <sheetData>
    <row r="2">
      <c r="A2" s="1" t="inlineStr">
        <is>
          <t>Section 2 Interactive Assessment System</t>
        </is>
      </c>
    </row>
    <row r="3">
      <c r="A3" s="2" t="inlineStr">
        <is>
          <t>Socratic Student Portal | Track your performance in real-time below</t>
        </is>
      </c>
    </row>
    <row r="5" ht="25" customHeight="1">
      <c r="A5" s="3" t="inlineStr">
        <is>
          <t>AUTOMATED STUDENT SCORECARD</t>
        </is>
      </c>
    </row>
    <row r="6" ht="20" customHeight="1">
      <c r="A6" s="5" t="inlineStr">
        <is>
          <t>Questions Attempted:</t>
        </is>
      </c>
      <c r="B6" s="12">
        <f>COUNTA(I11:I50)</f>
        <v/>
      </c>
    </row>
    <row r="7" ht="20" customHeight="1">
      <c r="A7" s="5" t="inlineStr">
        <is>
          <t>Correct Answers:</t>
        </is>
      </c>
      <c r="B7" s="12">
        <f>COUNTIF(J11:J50, "*Correct*")</f>
        <v/>
      </c>
    </row>
    <row r="8" ht="20" customHeight="1">
      <c r="A8" s="5" t="inlineStr">
        <is>
          <t>Overall Grade (%):</t>
        </is>
      </c>
      <c r="B8" s="13">
        <f>IF(B6=0, 0, B7/40)</f>
        <v/>
      </c>
    </row>
    <row r="10" ht="25" customHeight="1">
      <c r="A10" s="4" t="inlineStr">
        <is>
          <t>ID</t>
        </is>
      </c>
      <c r="B10" s="4" t="inlineStr">
        <is>
          <t>Difficulty Tier</t>
        </is>
      </c>
      <c r="C10" s="4" t="inlineStr">
        <is>
          <t>Question Text</t>
        </is>
      </c>
      <c r="D10" s="4" t="inlineStr">
        <is>
          <t>Option A</t>
        </is>
      </c>
      <c r="E10" s="4" t="inlineStr">
        <is>
          <t>Option B</t>
        </is>
      </c>
      <c r="F10" s="4" t="inlineStr">
        <is>
          <t>Option C</t>
        </is>
      </c>
      <c r="G10" s="4" t="inlineStr">
        <is>
          <t>Option D</t>
        </is>
      </c>
      <c r="H10" s="4" t="inlineStr">
        <is>
          <t>Option E</t>
        </is>
      </c>
      <c r="I10" s="4" t="inlineStr">
        <is>
          <t>Your Answer</t>
        </is>
      </c>
      <c r="J10" s="4" t="inlineStr">
        <is>
          <t>Result Status</t>
        </is>
      </c>
    </row>
    <row r="11" ht="65" customHeight="1">
      <c r="A11" s="14" t="inlineStr">
        <is>
          <t>Q1</t>
        </is>
      </c>
      <c r="B11" s="14" t="inlineStr">
        <is>
          <t>Basic (Must-Know)</t>
        </is>
      </c>
      <c r="C11" s="15" t="inlineStr">
        <is>
          <t>Which cell type in the endocrine pancreatic islets of Langerhans is responsible for secreting insulin?</t>
        </is>
      </c>
      <c r="D11" s="15" t="inlineStr">
        <is>
          <t>Alpha cells</t>
        </is>
      </c>
      <c r="E11" s="15" t="inlineStr">
        <is>
          <t>Beta cells</t>
        </is>
      </c>
      <c r="F11" s="15" t="inlineStr">
        <is>
          <t>Delta cells</t>
        </is>
      </c>
      <c r="G11" s="15" t="inlineStr">
        <is>
          <t>F cells</t>
        </is>
      </c>
      <c r="H11" s="15" t="inlineStr">
        <is>
          <t>Acinar cells</t>
        </is>
      </c>
      <c r="I11" s="16" t="n"/>
      <c r="J11" s="17">
        <f>IF(ISBLANK(I11), "", IF(I11='Answer Key &amp; Explanations'!C11, "✅ Correct", "❌ Incorrect (See Key)"))</f>
        <v/>
      </c>
    </row>
    <row r="12" ht="65" customHeight="1">
      <c r="A12" s="18" t="inlineStr">
        <is>
          <t>Q2</t>
        </is>
      </c>
      <c r="B12" s="18" t="inlineStr">
        <is>
          <t>Basic (Must-Know)</t>
        </is>
      </c>
      <c r="C12" s="19" t="inlineStr">
        <is>
          <t>What is the primary metabolic role of insulin during the postprandial (fed) state?</t>
        </is>
      </c>
      <c r="D12" s="19" t="inlineStr">
        <is>
          <t>Stimulating glycogenolysis and HSL</t>
        </is>
      </c>
      <c r="E12" s="19" t="inlineStr">
        <is>
          <t>Promoting energy storage and protein synthesis</t>
        </is>
      </c>
      <c r="F12" s="19" t="inlineStr">
        <is>
          <t>Driving hepatic glucose output and gluconeogenesis</t>
        </is>
      </c>
      <c r="G12" s="19" t="inlineStr">
        <is>
          <t>Inducing cellular protein and lipid catabolism</t>
        </is>
      </c>
      <c r="H12" s="19" t="inlineStr">
        <is>
          <t>Inhibiting lipoprotein lipase activity in adipose tissue</t>
        </is>
      </c>
      <c r="I12" s="16" t="n"/>
      <c r="J12" s="17">
        <f>IF(ISBLANK(I12), "", IF(I12='Answer Key &amp; Explanations'!C12, "✅ Correct", "❌ Incorrect (See Key)"))</f>
        <v/>
      </c>
    </row>
    <row r="13" ht="65" customHeight="1">
      <c r="A13" s="14" t="inlineStr">
        <is>
          <t>Q3</t>
        </is>
      </c>
      <c r="B13" s="14" t="inlineStr">
        <is>
          <t>Basic (Must-Know)</t>
        </is>
      </c>
      <c r="C13" s="15" t="inlineStr">
        <is>
          <t>Which of the following processes is directly stimulated by glucagon in hepatocytes during fasting?</t>
        </is>
      </c>
      <c r="D13" s="15" t="inlineStr">
        <is>
          <t>Glycogen synthesis (glycogenesis)</t>
        </is>
      </c>
      <c r="E13" s="15" t="inlineStr">
        <is>
          <t>Fatty acid synthesis (lipogenesis)</t>
        </is>
      </c>
      <c r="F13" s="15" t="inlineStr">
        <is>
          <t>Glucose breakdown (glycolysis)</t>
        </is>
      </c>
      <c r="G13" s="15" t="inlineStr">
        <is>
          <t>Glycogen breakdown (glycogenolysis)</t>
        </is>
      </c>
      <c r="H13" s="15" t="inlineStr">
        <is>
          <t>Protein transcription of GLUT-4 transporters</t>
        </is>
      </c>
      <c r="I13" s="16" t="n"/>
      <c r="J13" s="17">
        <f>IF(ISBLANK(I13), "", IF(I13='Answer Key &amp; Explanations'!C13, "✅ Correct", "❌ Incorrect (See Key)"))</f>
        <v/>
      </c>
    </row>
    <row r="14" ht="65" customHeight="1">
      <c r="A14" s="18" t="inlineStr">
        <is>
          <t>Q4</t>
        </is>
      </c>
      <c r="B14" s="18" t="inlineStr">
        <is>
          <t>Basic (Must-Know)</t>
        </is>
      </c>
      <c r="C14" s="19" t="inlineStr">
        <is>
          <t>Which pancreatic islet cell type synthesizes and secretes glucagon?</t>
        </is>
      </c>
      <c r="D14" s="19" t="inlineStr">
        <is>
          <t>Beta cells</t>
        </is>
      </c>
      <c r="E14" s="19" t="inlineStr">
        <is>
          <t>F cells</t>
        </is>
      </c>
      <c r="F14" s="19" t="inlineStr">
        <is>
          <t>Delta cells</t>
        </is>
      </c>
      <c r="G14" s="19" t="inlineStr">
        <is>
          <t>Alpha cells</t>
        </is>
      </c>
      <c r="H14" s="19" t="inlineStr">
        <is>
          <t>Acinar cells</t>
        </is>
      </c>
      <c r="I14" s="16" t="n"/>
      <c r="J14" s="17">
        <f>IF(ISBLANK(I14), "", IF(I14='Answer Key &amp; Explanations'!C14, "✅ Correct", "❌ Incorrect (See Key)"))</f>
        <v/>
      </c>
    </row>
    <row r="15" ht="65" customHeight="1">
      <c r="A15" s="14" t="inlineStr">
        <is>
          <t>Q5</t>
        </is>
      </c>
      <c r="B15" s="14" t="inlineStr">
        <is>
          <t>Basic (Must-Know)</t>
        </is>
      </c>
      <c r="C15" s="15" t="inlineStr">
        <is>
          <t>What is the primary biochemical mechanism behind the symptom of 'polyuria' (excessive urination) in a diabetic patient?</t>
        </is>
      </c>
      <c r="D15" s="15" t="inlineStr">
        <is>
          <t>Increased glomerular filtration rate due to severe hypovolemia</t>
        </is>
      </c>
      <c r="E15" s="15" t="inlineStr">
        <is>
          <t>Osmotic diuresis triggered by glucose exceeding the renal threshold</t>
        </is>
      </c>
      <c r="F15" s="15" t="inlineStr">
        <is>
          <t>Direct toxic destruction of the renal collecting ducts</t>
        </is>
      </c>
      <c r="G15" s="15" t="inlineStr">
        <is>
          <t>Antagonistic blockade of ADH V2 receptors by circulating insulin</t>
        </is>
      </c>
      <c r="H15" s="15" t="inlineStr">
        <is>
          <t>Increased aldosterone-mediated sodium wasting</t>
        </is>
      </c>
      <c r="I15" s="16" t="n"/>
      <c r="J15" s="17">
        <f>IF(ISBLANK(I15), "", IF(I15='Answer Key &amp; Explanations'!C15, "✅ Correct", "❌ Incorrect (See Key)"))</f>
        <v/>
      </c>
    </row>
    <row r="16" ht="65" customHeight="1">
      <c r="A16" s="18" t="inlineStr">
        <is>
          <t>Q6</t>
        </is>
      </c>
      <c r="B16" s="18" t="inlineStr">
        <is>
          <t>Basic (Must-Know)</t>
        </is>
      </c>
      <c r="C16" s="19" t="inlineStr">
        <is>
          <t>What direct physiological event triggers 'polydipsia' (excessive thirst) in patients with uncontrolled diabetes mellitus?</t>
        </is>
      </c>
      <c r="D16" s="19" t="inlineStr">
        <is>
          <t>Direct chemical stimulation of the hypothalamus by glucagon</t>
        </is>
      </c>
      <c r="E16" s="19" t="inlineStr">
        <is>
          <t>Intracellular volume depletion of hypothalamic osmoreceptors due to osmotic fluid loss</t>
        </is>
      </c>
      <c r="F16" s="19" t="inlineStr">
        <is>
          <t>Inhibition of the thirst center by highly elevated blood insulin</t>
        </is>
      </c>
      <c r="G16" s="19" t="inlineStr">
        <is>
          <t>Accumulation of toxic ketones within salivary glands</t>
        </is>
      </c>
      <c r="H16" s="19" t="inlineStr">
        <is>
          <t>A sudden, marked drop in systemic arterial blood pressure</t>
        </is>
      </c>
      <c r="I16" s="16" t="n"/>
      <c r="J16" s="17">
        <f>IF(ISBLANK(I16), "", IF(I16='Answer Key &amp; Explanations'!C16, "✅ Correct", "❌ Incorrect (See Key)"))</f>
        <v/>
      </c>
    </row>
    <row r="17" ht="65" customHeight="1">
      <c r="A17" s="14" t="inlineStr">
        <is>
          <t>Q7</t>
        </is>
      </c>
      <c r="B17" s="14" t="inlineStr">
        <is>
          <t>Basic (Must-Know)</t>
        </is>
      </c>
      <c r="C17" s="15" t="inlineStr">
        <is>
          <t>Why do patients with untreated diabetes mellitus experience 'polyphagia' (increased appetite/hunger) despite high blood glucose?</t>
        </is>
      </c>
      <c r="D17" s="15" t="inlineStr">
        <is>
          <t>Intracellular glucose starvation within the central hypothalamic satiety centers</t>
        </is>
      </c>
      <c r="E17" s="15" t="inlineStr">
        <is>
          <t>Direct central appetite-stimulating effects of high circulating insulin</t>
        </is>
      </c>
      <c r="F17" s="15" t="inlineStr">
        <is>
          <t>Accelerated gastric emptying driven by high glucagon levels</t>
        </is>
      </c>
      <c r="G17" s="15" t="inlineStr">
        <is>
          <t>Rapid non-enzymatic glycation of the stomach mucosa</t>
        </is>
      </c>
      <c r="H17" s="15" t="inlineStr">
        <is>
          <t>Inhibition of satiety pathways due to high blood ketone bodies</t>
        </is>
      </c>
      <c r="I17" s="16" t="n"/>
      <c r="J17" s="17">
        <f>IF(ISBLANK(I17), "", IF(I17='Answer Key &amp; Explanations'!C17, "✅ Correct", "❌ Incorrect (See Key)"))</f>
        <v/>
      </c>
    </row>
    <row r="18" ht="65" customHeight="1">
      <c r="A18" s="18" t="inlineStr">
        <is>
          <t>Q8</t>
        </is>
      </c>
      <c r="B18" s="18" t="inlineStr">
        <is>
          <t>Basic (Must-Know)</t>
        </is>
      </c>
      <c r="C18" s="19" t="inlineStr">
        <is>
          <t>What is the primary pathological hallmark that distinguishes Type 1 Diabetes Mellitus (T1DM) from Type 2 Diabetes Mellitus (T2DM)?</t>
        </is>
      </c>
      <c r="D18" s="19" t="inlineStr">
        <is>
          <t>Presence of severe systemic insulin resistance</t>
        </is>
      </c>
      <c r="E18" s="19" t="inlineStr">
        <is>
          <t>Absolute deficiency of insulin due to autoimmune destruction of beta cells</t>
        </is>
      </c>
      <c r="F18" s="19" t="inlineStr">
        <is>
          <t>Gradual deposition of islet amyloid polypeptide (IAPP) in islets</t>
        </is>
      </c>
      <c r="G18" s="19" t="inlineStr">
        <is>
          <t>Upregulation of GLUT-4 expression on the cell surface of myocytes</t>
        </is>
      </c>
      <c r="H18" s="19" t="inlineStr">
        <is>
          <t>Complete lack of glucagon secretion from alpha cells</t>
        </is>
      </c>
      <c r="I18" s="16" t="n"/>
      <c r="J18" s="17">
        <f>IF(ISBLANK(I18), "", IF(I18='Answer Key &amp; Explanations'!C18, "✅ Correct", "❌ Incorrect (See Key)"))</f>
        <v/>
      </c>
    </row>
    <row r="19" ht="65" customHeight="1">
      <c r="A19" s="14" t="inlineStr">
        <is>
          <t>Q9</t>
        </is>
      </c>
      <c r="B19" s="14" t="inlineStr">
        <is>
          <t>Basic (Must-Know)</t>
        </is>
      </c>
      <c r="C19" s="15" t="inlineStr">
        <is>
          <t>Which of the following descriptions best fits the typical initial pathogenesis of Type 2 Diabetes Mellitus?</t>
        </is>
      </c>
      <c r="D19" s="15" t="inlineStr">
        <is>
          <t>Acute viral destruction of all pancreatic islet tissue</t>
        </is>
      </c>
      <c r="E19" s="15" t="inlineStr">
        <is>
          <t>Selective autoimmune CD8+ T-cell lysis of beta-cells</t>
        </is>
      </c>
      <c r="F19" s="15" t="inlineStr">
        <is>
          <t>Peripheral tissue insulin resistance combined with relative insulin secretory defects</t>
        </is>
      </c>
      <c r="G19" s="15" t="inlineStr">
        <is>
          <t>An activating mutation in the pancreatic ATP-sensitive K+ channels</t>
        </is>
      </c>
      <c r="H19" s="15" t="inlineStr">
        <is>
          <t>Ectopic secretion of insulin by a non-endocrine malignancy</t>
        </is>
      </c>
      <c r="I19" s="16" t="n"/>
      <c r="J19" s="17">
        <f>IF(ISBLANK(I19), "", IF(I19='Answer Key &amp; Explanations'!C19, "✅ Correct", "❌ Incorrect (See Key)"))</f>
        <v/>
      </c>
    </row>
    <row r="20" ht="65" customHeight="1">
      <c r="A20" s="18" t="inlineStr">
        <is>
          <t>Q10</t>
        </is>
      </c>
      <c r="B20" s="18" t="inlineStr">
        <is>
          <t>Basic (Must-Know)</t>
        </is>
      </c>
      <c r="C20" s="19" t="inlineStr">
        <is>
          <t>Which hormone is secreted by the Delta cells of the pancreatic islets of Langerhans to locally inhibit both insulin and glucagon release?</t>
        </is>
      </c>
      <c r="D20" s="19" t="inlineStr">
        <is>
          <t>Pancreatic polypeptide (PP)</t>
        </is>
      </c>
      <c r="E20" s="19" t="inlineStr">
        <is>
          <t>Somatostatin</t>
        </is>
      </c>
      <c r="F20" s="19" t="inlineStr">
        <is>
          <t>Amylin (IAPP)</t>
        </is>
      </c>
      <c r="G20" s="19" t="inlineStr">
        <is>
          <t>Gastrin-Releasing Peptide</t>
        </is>
      </c>
      <c r="H20" s="19" t="inlineStr">
        <is>
          <t>Vasoactive Intestinal Peptide (VIP)</t>
        </is>
      </c>
      <c r="I20" s="16" t="n"/>
      <c r="J20" s="17">
        <f>IF(ISBLANK(I20), "", IF(I20='Answer Key &amp; Explanations'!C20, "✅ Correct", "❌ Incorrect (See Key)"))</f>
        <v/>
      </c>
    </row>
    <row r="21" ht="65" customHeight="1">
      <c r="A21" s="14" t="inlineStr">
        <is>
          <t>Q11</t>
        </is>
      </c>
      <c r="B21" s="14" t="inlineStr">
        <is>
          <t>Basic (Must-Know)</t>
        </is>
      </c>
      <c r="C21" s="15" t="inlineStr">
        <is>
          <t>Which of the following antibodies is commonly tested to confirm an autoimmune etiology in a newly diagnosed Type 1 Diabetic patient?</t>
        </is>
      </c>
      <c r="D21" s="15" t="inlineStr">
        <is>
          <t>Anti-thyroglobulin antibodies (TgAb)</t>
        </is>
      </c>
      <c r="E21" s="15" t="inlineStr">
        <is>
          <t>Glutamic acid decarboxylase 65 autoantibodies (GADA)</t>
        </is>
      </c>
      <c r="F21" s="15" t="inlineStr">
        <is>
          <t>Anti-nuclear antibodies (ANA)</t>
        </is>
      </c>
      <c r="G21" s="15" t="inlineStr">
        <is>
          <t>Anti-smooth muscle antibodies (ASMA)</t>
        </is>
      </c>
      <c r="H21" s="15" t="inlineStr">
        <is>
          <t>Anti-centromere antibodies (ACA)</t>
        </is>
      </c>
      <c r="I21" s="16" t="n"/>
      <c r="J21" s="17">
        <f>IF(ISBLANK(I21), "", IF(I21='Answer Key &amp; Explanations'!C21, "✅ Correct", "❌ Incorrect (See Key)"))</f>
        <v/>
      </c>
    </row>
    <row r="22" ht="65" customHeight="1">
      <c r="A22" s="18" t="inlineStr">
        <is>
          <t>Q12</t>
        </is>
      </c>
      <c r="B22" s="18" t="inlineStr">
        <is>
          <t>Basic (Must-Know)</t>
        </is>
      </c>
      <c r="C22" s="19" t="inlineStr">
        <is>
          <t>Which of the following groups of symptoms is most characteristic of acute, mild-to-moderate hypoglycemia?</t>
        </is>
      </c>
      <c r="D22" s="19" t="inlineStr">
        <is>
          <t>Sweating, tremors, and palpitations (adrenergic overdrive)</t>
        </is>
      </c>
      <c r="E22" s="19" t="inlineStr">
        <is>
          <t>Severe polyuria, deep breathing, and abdominal pain</t>
        </is>
      </c>
      <c r="F22" s="19" t="inlineStr">
        <is>
          <t>Dry skin, flushing, and high-pitched wheezing</t>
        </is>
      </c>
      <c r="G22" s="19" t="inlineStr">
        <is>
          <t>Urinary retention, constipation, and extreme bradycardia</t>
        </is>
      </c>
      <c r="H22" s="19" t="inlineStr">
        <is>
          <t>High-fever, velvety skin plaques, and rapid weight gain</t>
        </is>
      </c>
      <c r="I22" s="16" t="n"/>
      <c r="J22" s="17">
        <f>IF(ISBLANK(I22), "", IF(I22='Answer Key &amp; Explanations'!C22, "✅ Correct", "❌ Incorrect (See Key)"))</f>
        <v/>
      </c>
    </row>
    <row r="23" ht="65" customHeight="1">
      <c r="A23" s="14" t="inlineStr">
        <is>
          <t>Q13</t>
        </is>
      </c>
      <c r="B23" s="14" t="inlineStr">
        <is>
          <t>Basic (Must-Know)</t>
        </is>
      </c>
      <c r="C23" s="15" t="inlineStr">
        <is>
          <t>Which of the following is the primary physiological stimulus driving the exocytosis of pre-formed insulin vesicles from beta-cells?</t>
        </is>
      </c>
      <c r="D23" s="15" t="inlineStr">
        <is>
          <t>A drop in blood pH below 7.35</t>
        </is>
      </c>
      <c r="E23" s="15" t="inlineStr">
        <is>
          <t>Rising plasma glucose levels (hyperglycemia)</t>
        </is>
      </c>
      <c r="F23" s="15" t="inlineStr">
        <is>
          <t>Infiltration of the islets by circulating neutrophils</t>
        </is>
      </c>
      <c r="G23" s="15" t="inlineStr">
        <is>
          <t>Binding of glucagon to beta-cell nuclear receptors</t>
        </is>
      </c>
      <c r="H23" s="15" t="inlineStr">
        <is>
          <t>Stimulation of beta-cells by thyroid hormone</t>
        </is>
      </c>
      <c r="I23" s="16" t="n"/>
      <c r="J23" s="17">
        <f>IF(ISBLANK(I23), "", IF(I23='Answer Key &amp; Explanations'!C23, "✅ Correct", "❌ Incorrect (See Key)"))</f>
        <v/>
      </c>
    </row>
    <row r="24" ht="65" customHeight="1">
      <c r="A24" s="18" t="inlineStr">
        <is>
          <t>Q14</t>
        </is>
      </c>
      <c r="B24" s="18" t="inlineStr">
        <is>
          <t>Basic (Must-Know)</t>
        </is>
      </c>
      <c r="C24" s="19" t="inlineStr">
        <is>
          <t>Which of the following metabolic pathways is an anabolic process upregulated by insulin in hepatocytes during the fed state?</t>
        </is>
      </c>
      <c r="D24" s="19" t="inlineStr">
        <is>
          <t>Glycogenolysis</t>
        </is>
      </c>
      <c r="E24" s="19" t="inlineStr">
        <is>
          <t>Gluconeogenesis</t>
        </is>
      </c>
      <c r="F24" s="19" t="inlineStr">
        <is>
          <t>Glycogenesis (glycogen synthesis)</t>
        </is>
      </c>
      <c r="G24" s="19" t="inlineStr">
        <is>
          <t>Beta-oxidation</t>
        </is>
      </c>
      <c r="H24" s="19" t="inlineStr">
        <is>
          <t>Ketogenesis</t>
        </is>
      </c>
      <c r="I24" s="16" t="n"/>
      <c r="J24" s="17">
        <f>IF(ISBLANK(I24), "", IF(I24='Answer Key &amp; Explanations'!C24, "✅ Correct", "❌ Incorrect (See Key)"))</f>
        <v/>
      </c>
    </row>
    <row r="25" ht="65" customHeight="1">
      <c r="A25" s="14" t="inlineStr">
        <is>
          <t>Q15</t>
        </is>
      </c>
      <c r="B25" s="14" t="inlineStr">
        <is>
          <t>Basic (Must-Know)</t>
        </is>
      </c>
      <c r="C25" s="15" t="inlineStr">
        <is>
          <t>During the fasting state, which hormone acts as the principal regulator to promote glycogenolysis and maintain euglycemia?</t>
        </is>
      </c>
      <c r="D25" s="15" t="inlineStr">
        <is>
          <t>Insulin</t>
        </is>
      </c>
      <c r="E25" s="15" t="inlineStr">
        <is>
          <t>Glucagon</t>
        </is>
      </c>
      <c r="F25" s="15" t="inlineStr">
        <is>
          <t>Somatostatin</t>
        </is>
      </c>
      <c r="G25" s="15" t="inlineStr">
        <is>
          <t>Prolactin</t>
        </is>
      </c>
      <c r="H25" s="15" t="inlineStr">
        <is>
          <t>Calcitonin</t>
        </is>
      </c>
      <c r="I25" s="16" t="n"/>
      <c r="J25" s="17">
        <f>IF(ISBLANK(I25), "", IF(I25='Answer Key &amp; Explanations'!C25, "✅ Correct", "❌ Incorrect (See Key)"))</f>
        <v/>
      </c>
    </row>
    <row r="26" ht="65" customHeight="1">
      <c r="A26" s="18" t="inlineStr">
        <is>
          <t>Q16</t>
        </is>
      </c>
      <c r="B26" s="18" t="inlineStr">
        <is>
          <t>Basic (Must-Know)</t>
        </is>
      </c>
      <c r="C26" s="19" t="inlineStr">
        <is>
          <t>Which of the following tissues is insulin-dependent, requiring insulin to translocate GLUT-4 transporters to its membrane for glucose uptake?</t>
        </is>
      </c>
      <c r="D26" s="19" t="inlineStr">
        <is>
          <t>Brain tissues</t>
        </is>
      </c>
      <c r="E26" s="19" t="inlineStr">
        <is>
          <t>Erythrocytes (red blood cells)</t>
        </is>
      </c>
      <c r="F26" s="19" t="inlineStr">
        <is>
          <t>Skeletal muscle</t>
        </is>
      </c>
      <c r="G26" s="19" t="inlineStr">
        <is>
          <t>Renal tubular epithelium</t>
        </is>
      </c>
      <c r="H26" s="19" t="inlineStr">
        <is>
          <t>Pancreatic beta-cells</t>
        </is>
      </c>
      <c r="I26" s="16" t="n"/>
      <c r="J26" s="17">
        <f>IF(ISBLANK(I26), "", IF(I26='Answer Key &amp; Explanations'!C26, "✅ Correct", "❌ Incorrect (See Key)"))</f>
        <v/>
      </c>
    </row>
    <row r="27" ht="65" customHeight="1">
      <c r="A27" s="14" t="inlineStr">
        <is>
          <t>Q17</t>
        </is>
      </c>
      <c r="B27" s="14" t="inlineStr">
        <is>
          <t>Basic (Must-Know)</t>
        </is>
      </c>
      <c r="C27" s="15" t="inlineStr">
        <is>
          <t>What is the physiological basis of the 'honeymoon period' observed in some patients shortly after initiating insulin therapy for newly diagnosed Type 1 Diabetes?</t>
        </is>
      </c>
      <c r="D27" s="15" t="inlineStr">
        <is>
          <t>Complete permanent recovery of the patient's pancreatic islet beta-cells</t>
        </is>
      </c>
      <c r="E27" s="15" t="inlineStr">
        <is>
          <t>Temporary functional recovery of remaining, undamaged beta-cells due to relieved glucotoxicity</t>
        </is>
      </c>
      <c r="F27" s="15" t="inlineStr">
        <is>
          <t>Rapid downregulation of insulin receptors in peripheral muscle tissues</t>
        </is>
      </c>
      <c r="G27" s="15" t="inlineStr">
        <is>
          <t>Spontaneous mutation of the T-cell receptor genes to stop autoimmunity</t>
        </is>
      </c>
      <c r="H27" s="15" t="inlineStr">
        <is>
          <t>Acquired resistance of target tissues to the injected insulin</t>
        </is>
      </c>
      <c r="I27" s="16" t="n"/>
      <c r="J27" s="17">
        <f>IF(ISBLANK(I27), "", IF(I27='Answer Key &amp; Explanations'!C27, "✅ Correct", "❌ Incorrect (See Key)"))</f>
        <v/>
      </c>
    </row>
    <row r="28" ht="65" customHeight="1">
      <c r="A28" s="18" t="inlineStr">
        <is>
          <t>Q18</t>
        </is>
      </c>
      <c r="B28" s="18" t="inlineStr">
        <is>
          <t>Basic (Must-Know)</t>
        </is>
      </c>
      <c r="C28" s="19" t="inlineStr">
        <is>
          <t>Which of the following represents a direct clinical sign of brain glucose deprivation (neuroglycopenia) in a hypoglycemic patient?</t>
        </is>
      </c>
      <c r="D28" s="19" t="inlineStr">
        <is>
          <t>Sweating and moist hands</t>
        </is>
      </c>
      <c r="E28" s="19" t="inlineStr">
        <is>
          <t>Pounding palpitations in the chest</t>
        </is>
      </c>
      <c r="F28" s="19" t="inlineStr">
        <is>
          <t>Confusion, cognitive impairment, and lethargy</t>
        </is>
      </c>
      <c r="G28" s="19" t="inlineStr">
        <is>
          <t>Severe abdominal cramping and vomiting</t>
        </is>
      </c>
      <c r="H28" s="19" t="inlineStr">
        <is>
          <t>Generalized skin flushing and hyperpigmentation</t>
        </is>
      </c>
      <c r="I28" s="16" t="n"/>
      <c r="J28" s="17">
        <f>IF(ISBLANK(I28), "", IF(I28='Answer Key &amp; Explanations'!C28, "✅ Correct", "❌ Incorrect (See Key)"))</f>
        <v/>
      </c>
    </row>
    <row r="29" ht="65" customHeight="1">
      <c r="A29" s="14" t="inlineStr">
        <is>
          <t>Q19</t>
        </is>
      </c>
      <c r="B29" s="14" t="inlineStr">
        <is>
          <t>Basic (Must-Know)</t>
        </is>
      </c>
      <c r="C29" s="15" t="inlineStr">
        <is>
          <t>What is the primary product synthesized and secreted by the exocrine acinar portion of the pancreas?</t>
        </is>
      </c>
      <c r="D29" s="15" t="inlineStr">
        <is>
          <t>Insulin and glucagon hormones</t>
        </is>
      </c>
      <c r="E29" s="15" t="inlineStr">
        <is>
          <t>Somatostatin and amylin peptides</t>
        </is>
      </c>
      <c r="F29" s="15" t="inlineStr">
        <is>
          <t>Digestive enzymes (trypsinogen, lipase, amylase)</t>
        </is>
      </c>
      <c r="G29" s="15" t="inlineStr">
        <is>
          <t>Hydrochloric acid and pepsinogen</t>
        </is>
      </c>
      <c r="H29" s="15" t="inlineStr">
        <is>
          <t>Gastrin and secretin trophic hormones</t>
        </is>
      </c>
      <c r="I29" s="16" t="n"/>
      <c r="J29" s="17">
        <f>IF(ISBLANK(I29), "", IF(I29='Answer Key &amp; Explanations'!C29, "✅ Correct", "❌ Incorrect (See Key)"))</f>
        <v/>
      </c>
    </row>
    <row r="30" ht="65" customHeight="1">
      <c r="A30" s="18" t="inlineStr">
        <is>
          <t>Q20</t>
        </is>
      </c>
      <c r="B30" s="18" t="inlineStr">
        <is>
          <t>Basic (Must-Know)</t>
        </is>
      </c>
      <c r="C30" s="19" t="inlineStr">
        <is>
          <t>A newly diagnosed Type 1 Diabetic patient presents to the emergency department in a state of deep, rapid breathing (Kussmaul respiration), dehydration, and a fruity odor to their breath. What acute crisis are they experiencing?</t>
        </is>
      </c>
      <c r="D30" s="19" t="inlineStr">
        <is>
          <t>Hyperosmolar Hyperglycemic State (HHS)</t>
        </is>
      </c>
      <c r="E30" s="19" t="inlineStr">
        <is>
          <t>Thyroid Storm</t>
        </is>
      </c>
      <c r="F30" s="19" t="inlineStr">
        <is>
          <t>Diabetic Ketoacidosis (DKA)</t>
        </is>
      </c>
      <c r="G30" s="19" t="inlineStr">
        <is>
          <t>Hypoglycemic Coma</t>
        </is>
      </c>
      <c r="H30" s="19" t="inlineStr">
        <is>
          <t>Acute Adrenal Crisis</t>
        </is>
      </c>
      <c r="I30" s="16" t="n"/>
      <c r="J30" s="17">
        <f>IF(ISBLANK(I30), "", IF(I30='Answer Key &amp; Explanations'!C30, "✅ Correct", "❌ Incorrect (See Key)"))</f>
        <v/>
      </c>
    </row>
    <row r="31" ht="65" customHeight="1">
      <c r="A31" s="14" t="inlineStr">
        <is>
          <t>Q21</t>
        </is>
      </c>
      <c r="B31" s="14" t="inlineStr">
        <is>
          <t>Intermediate (Should-Know)</t>
        </is>
      </c>
      <c r="C31" s="15" t="inlineStr">
        <is>
          <t>According to established clinical guidelines, what is the diagnostic threshold for fasting venous plasma glucose (FPG) to confirm Diabetes Mellitus?</t>
        </is>
      </c>
      <c r="D31" s="15" t="inlineStr">
        <is>
          <t>Fasting plasma glucose &gt;= 5.6 mmol/L</t>
        </is>
      </c>
      <c r="E31" s="15" t="inlineStr">
        <is>
          <t>Fasting plasma glucose &gt;= 6.1 mmol/L</t>
        </is>
      </c>
      <c r="F31" s="15" t="inlineStr">
        <is>
          <t>Fasting plasma glucose &gt;= 7.0 mmol/L</t>
        </is>
      </c>
      <c r="G31" s="15" t="inlineStr">
        <is>
          <t>Fasting plasma glucose &gt;= 11.1 mmol/L</t>
        </is>
      </c>
      <c r="H31" s="15" t="inlineStr">
        <is>
          <t>Fasting plasma glucose &gt;= 15.0 mmol/L</t>
        </is>
      </c>
      <c r="I31" s="16" t="n"/>
      <c r="J31" s="17">
        <f>IF(ISBLANK(I31), "", IF(I31='Answer Key &amp; Explanations'!C31, "✅ Correct", "❌ Incorrect (See Key)"))</f>
        <v/>
      </c>
    </row>
    <row r="32" ht="65" customHeight="1">
      <c r="A32" s="18" t="inlineStr">
        <is>
          <t>Q22</t>
        </is>
      </c>
      <c r="B32" s="18" t="inlineStr">
        <is>
          <t>Intermediate (Should-Know)</t>
        </is>
      </c>
      <c r="C32" s="19" t="inlineStr">
        <is>
          <t>What is the diagnostic threshold for Glycated Hemoglobin (HbA1c) to confirm Diabetes Mellitus?</t>
        </is>
      </c>
      <c r="D32" s="19" t="inlineStr">
        <is>
          <t>HbA1c &gt;= 5.7%</t>
        </is>
      </c>
      <c r="E32" s="19" t="inlineStr">
        <is>
          <t>HbA1c &gt;= 6.0%</t>
        </is>
      </c>
      <c r="F32" s="19" t="inlineStr">
        <is>
          <t>HbA1c &gt;= 6.5%</t>
        </is>
      </c>
      <c r="G32" s="19" t="inlineStr">
        <is>
          <t>HbA1c &gt;= 7.0%</t>
        </is>
      </c>
      <c r="H32" s="19" t="inlineStr">
        <is>
          <t>HbA1c &gt;= 8.0%</t>
        </is>
      </c>
      <c r="I32" s="16" t="n"/>
      <c r="J32" s="17">
        <f>IF(ISBLANK(I32), "", IF(I32='Answer Key &amp; Explanations'!C32, "✅ Correct", "❌ Incorrect (See Key)"))</f>
        <v/>
      </c>
    </row>
    <row r="33" ht="65" customHeight="1">
      <c r="A33" s="14" t="inlineStr">
        <is>
          <t>Q23</t>
        </is>
      </c>
      <c r="B33" s="14" t="inlineStr">
        <is>
          <t>Intermediate (Should-Know)</t>
        </is>
      </c>
      <c r="C33" s="15" t="inlineStr">
        <is>
          <t>In a patient presenting with classic symptoms of hyperglycemia (polyuria, polydipsia, weight loss), what random venous plasma glucose level is sufficient to diagnose Diabetes Mellitus on a single test?</t>
        </is>
      </c>
      <c r="D33" s="15" t="inlineStr">
        <is>
          <t>Random plasma glucose &gt;= 7.0 mmol/L</t>
        </is>
      </c>
      <c r="E33" s="15" t="inlineStr">
        <is>
          <t>Random plasma glucose &gt;= 8.5 mmol/L</t>
        </is>
      </c>
      <c r="F33" s="15" t="inlineStr">
        <is>
          <t>Random plasma glucose &gt;= 10.0 mmol/L</t>
        </is>
      </c>
      <c r="G33" s="15" t="inlineStr">
        <is>
          <t>Random plasma glucose &gt;= 11.1 mmol/L</t>
        </is>
      </c>
      <c r="H33" s="15" t="inlineStr">
        <is>
          <t>Random plasma glucose &gt;= 13.5 mmol/L</t>
        </is>
      </c>
      <c r="I33" s="16" t="n"/>
      <c r="J33" s="17">
        <f>IF(ISBLANK(I33), "", IF(I33='Answer Key &amp; Explanations'!C33, "✅ Correct", "❌ Incorrect (See Key)"))</f>
        <v/>
      </c>
    </row>
    <row r="34" ht="65" customHeight="1">
      <c r="A34" s="18" t="inlineStr">
        <is>
          <t>Q24</t>
        </is>
      </c>
      <c r="B34" s="18" t="inlineStr">
        <is>
          <t>Intermediate (Should-Know)</t>
        </is>
      </c>
      <c r="C34" s="19" t="inlineStr">
        <is>
          <t>Which of the following kinetic comparisons between ubiquitous Hexokinase and pancreatic/hepatic Glucokinase is correct?</t>
        </is>
      </c>
      <c r="D34" s="19" t="inlineStr">
        <is>
          <t>Hexokinase has a much lower affinity (higher Km) for glucose than Glucokinase.</t>
        </is>
      </c>
      <c r="E34" s="19" t="inlineStr">
        <is>
          <t>Glucokinase has a much lower affinity (higher Km) for glucose than Hexokinase.</t>
        </is>
      </c>
      <c r="F34" s="19" t="inlineStr">
        <is>
          <t>Hexokinase is completely uninhibited by its metabolic product, G-6-P.</t>
        </is>
      </c>
      <c r="G34" s="19" t="inlineStr">
        <is>
          <t>Glucokinase operates at its maximum velocity (Vmax) during fasting glucose levels.</t>
        </is>
      </c>
      <c r="H34" s="19" t="inlineStr">
        <is>
          <t>Glucokinase is expressed ubiquitously across erythrocytes and brain cells.</t>
        </is>
      </c>
      <c r="I34" s="16" t="n"/>
      <c r="J34" s="17">
        <f>IF(ISBLANK(I34), "", IF(I34='Answer Key &amp; Explanations'!C34, "✅ Correct", "❌ Incorrect (See Key)"))</f>
        <v/>
      </c>
    </row>
    <row r="35" ht="65" customHeight="1">
      <c r="A35" s="14" t="inlineStr">
        <is>
          <t>Q25</t>
        </is>
      </c>
      <c r="B35" s="14" t="inlineStr">
        <is>
          <t>Intermediate (Should-Know)</t>
        </is>
      </c>
      <c r="C35" s="15" t="inlineStr">
        <is>
          <t>Which glucose transporter (GLUT) is expressed on pancreatic beta-cells and hepatocytes to allow rapid, insulin-independent equilibration of intracellular and extracellular glucose?</t>
        </is>
      </c>
      <c r="D35" s="15" t="inlineStr">
        <is>
          <t>GLUT-1</t>
        </is>
      </c>
      <c r="E35" s="15" t="inlineStr">
        <is>
          <t>GLUT-2</t>
        </is>
      </c>
      <c r="F35" s="15" t="inlineStr">
        <is>
          <t>GLUT-3</t>
        </is>
      </c>
      <c r="G35" s="15" t="inlineStr">
        <is>
          <t>GLUT-4</t>
        </is>
      </c>
      <c r="H35" s="15" t="inlineStr">
        <is>
          <t>GLUT-5</t>
        </is>
      </c>
      <c r="I35" s="16" t="n"/>
      <c r="J35" s="17">
        <f>IF(ISBLANK(I35), "", IF(I35='Answer Key &amp; Explanations'!C35, "✅ Correct", "❌ Incorrect (See Key)"))</f>
        <v/>
      </c>
    </row>
    <row r="36" ht="65" customHeight="1">
      <c r="A36" s="18" t="inlineStr">
        <is>
          <t>Q26</t>
        </is>
      </c>
      <c r="B36" s="18" t="inlineStr">
        <is>
          <t>Intermediate (Should-Know)</t>
        </is>
      </c>
      <c r="C36" s="19" t="inlineStr">
        <is>
          <t>During the Glucose-Stimulated Insulin Secretion (GSIS) cascade in a beta-cell, what is the direct molecular consequence of increased mitochondrial ATP production?</t>
        </is>
      </c>
      <c r="D36" s="19" t="inlineStr">
        <is>
          <t>Opening of voltage-gated potassium channels</t>
        </is>
      </c>
      <c r="E36" s="19" t="inlineStr">
        <is>
          <t>Closure of ATP-sensitive potassium (K_ATP) channels</t>
        </is>
      </c>
      <c r="F36" s="19" t="inlineStr">
        <is>
          <t>Inactivation of intracellular glucokinase</t>
        </is>
      </c>
      <c r="G36" s="19" t="inlineStr">
        <is>
          <t>Activation of the sodium-calcium exchanger (NCX)</t>
        </is>
      </c>
      <c r="H36" s="19" t="inlineStr">
        <is>
          <t>Exocytosis of GLUT-4 storage vesicles</t>
        </is>
      </c>
      <c r="I36" s="16" t="n"/>
      <c r="J36" s="17">
        <f>IF(ISBLANK(I36), "", IF(I36='Answer Key &amp; Explanations'!C36, "✅ Correct", "❌ Incorrect (See Key)"))</f>
        <v/>
      </c>
    </row>
    <row r="37" ht="65" customHeight="1">
      <c r="A37" s="14" t="inlineStr">
        <is>
          <t>Q27</t>
        </is>
      </c>
      <c r="B37" s="14" t="inlineStr">
        <is>
          <t>Intermediate (Should-Know)</t>
        </is>
      </c>
      <c r="C37" s="15" t="inlineStr">
        <is>
          <t>During the GSIS cascade, what direct event is triggered by the depolarization of the beta-cell plasma membrane, leading directly to the exocytosis of insulin granules?</t>
        </is>
      </c>
      <c r="D37" s="15" t="inlineStr">
        <is>
          <t>Opening of voltage-gated calcium (Ca2+) channels and calcium influx</t>
        </is>
      </c>
      <c r="E37" s="15" t="inlineStr">
        <is>
          <t>Activation of intracellular stress kinases JNK and IKK-beta</t>
        </is>
      </c>
      <c r="F37" s="15" t="inlineStr">
        <is>
          <t>Binding of C-peptide to nuclear transcription factor complexes</t>
        </is>
      </c>
      <c r="G37" s="15" t="inlineStr">
        <is>
          <t>Nuclear translocation of Glucokinase Regulatory Protein (GKRP)</t>
        </is>
      </c>
      <c r="H37" s="15" t="inlineStr">
        <is>
          <t>Conversion of ATP to cyclic AMP (cAMP) via adenylyl cyclase</t>
        </is>
      </c>
      <c r="I37" s="16" t="n"/>
      <c r="J37" s="17">
        <f>IF(ISBLANK(I37), "", IF(I37='Answer Key &amp; Explanations'!C37, "✅ Correct", "❌ Incorrect (See Key)"))</f>
        <v/>
      </c>
    </row>
    <row r="38" ht="65" customHeight="1">
      <c r="A38" s="18" t="inlineStr">
        <is>
          <t>Q28</t>
        </is>
      </c>
      <c r="B38" s="18" t="inlineStr">
        <is>
          <t>Intermediate (Should-Know)</t>
        </is>
      </c>
      <c r="C38" s="19" t="inlineStr">
        <is>
          <t>What is the clinical value of measuring circulating C-peptide levels in a diabetic patient?</t>
        </is>
      </c>
      <c r="D38" s="19" t="inlineStr">
        <is>
          <t>It acts as a potent insulin receptor blocker to assess tissue sensitivity.</t>
        </is>
      </c>
      <c r="E38" s="19" t="inlineStr">
        <is>
          <t>It is a reliable marker of endogenous insulin secretion because it is co-secreted in equimolar amounts and has a longer half-life.</t>
        </is>
      </c>
      <c r="F38" s="19" t="inlineStr">
        <is>
          <t>It directly measures the rate of renal glucose filtration.</t>
        </is>
      </c>
      <c r="G38" s="19" t="inlineStr">
        <is>
          <t>It indicates the presence of autoimmune anti-islet antibodies.</t>
        </is>
      </c>
      <c r="H38" s="19" t="inlineStr">
        <is>
          <t>It measures the severity of hepatic glycogen storage depletion.</t>
        </is>
      </c>
      <c r="I38" s="16" t="n"/>
      <c r="J38" s="17">
        <f>IF(ISBLANK(I38), "", IF(I38='Answer Key &amp; Explanations'!C38, "✅ Correct", "❌ Incorrect (See Key)"))</f>
        <v/>
      </c>
    </row>
    <row r="39" ht="65" customHeight="1">
      <c r="A39" s="14" t="inlineStr">
        <is>
          <t>Q29</t>
        </is>
      </c>
      <c r="B39" s="14" t="inlineStr">
        <is>
          <t>Intermediate (Should-Know)</t>
        </is>
      </c>
      <c r="C39" s="15" t="inlineStr">
        <is>
          <t>What is the physiological mechanism behind the 'incretin effect' where oral glucose triggers a substantially larger insulin surge than an equivalent intravenous glucose dose?</t>
        </is>
      </c>
      <c r="D39" s="15" t="inlineStr">
        <is>
          <t>Oral glucose directly stimulates the vagus nerve to bypass beta-cell receptors.</t>
        </is>
      </c>
      <c r="E39" s="15" t="inlineStr">
        <is>
          <t>Intestinal release of GIP and GLP-1 hormones which bind to Gs-coupled receptors on beta-cells to potentiate glucose-mediated insulin exocytosis.</t>
        </is>
      </c>
      <c r="F39" s="15" t="inlineStr">
        <is>
          <t>First-pass hepatic extraction of intravenous glucose destroys the insulin signal.</t>
        </is>
      </c>
      <c r="G39" s="15" t="inlineStr">
        <is>
          <t>Direct physical stimulation of pancreatic exocrine cells by passing food.</t>
        </is>
      </c>
      <c r="H39" s="15" t="inlineStr">
        <is>
          <t>Activation of skeletal muscle GLUT-4 transporters during mastication.</t>
        </is>
      </c>
      <c r="I39" s="16" t="n"/>
      <c r="J39" s="17">
        <f>IF(ISBLANK(I39), "", IF(I39='Answer Key &amp; Explanations'!C39, "✅ Correct", "❌ Incorrect (See Key)"))</f>
        <v/>
      </c>
    </row>
    <row r="40" ht="65" customHeight="1">
      <c r="A40" s="18" t="inlineStr">
        <is>
          <t>Q30</t>
        </is>
      </c>
      <c r="B40" s="18" t="inlineStr">
        <is>
          <t>Intermediate (Should-Know)</t>
        </is>
      </c>
      <c r="C40" s="19" t="inlineStr">
        <is>
          <t>What is the primary pathophysiological reason why patients with Hyperosmolar Hyperglycemic State (HHS) do not develop severe ketoacidosis like patients with Diabetic Ketoacidosis (DKA)?</t>
        </is>
      </c>
      <c r="D40" s="19" t="inlineStr">
        <is>
          <t>HHS patients have completely normal tissue insulin sensitivity.</t>
        </is>
      </c>
      <c r="E40" s="19" t="inlineStr">
        <is>
          <t>HHS patients have a relative presence of insulin sufficient to suppress Hormone-Sensitive Lipase (HSL) and ketogenesis, but insufficient to drive muscle glucose uptake.</t>
        </is>
      </c>
      <c r="F40" s="19" t="inlineStr">
        <is>
          <t>The kidneys in HHS are completely impermeable to ketone bodies.</t>
        </is>
      </c>
      <c r="G40" s="19" t="inlineStr">
        <is>
          <t>HHS is caused by an acute hypersecretion of insulin that neutralizes ketones.</t>
        </is>
      </c>
      <c r="H40" s="19" t="inlineStr">
        <is>
          <t>HHS patients have a genetic deletion of the HMG-CoA synthase enzyme.</t>
        </is>
      </c>
      <c r="I40" s="16" t="n"/>
      <c r="J40" s="17">
        <f>IF(ISBLANK(I40), "", IF(I40='Answer Key &amp; Explanations'!C40, "✅ Correct", "❌ Incorrect (See Key)"))</f>
        <v/>
      </c>
    </row>
    <row r="41" ht="65" customHeight="1">
      <c r="A41" s="14" t="inlineStr">
        <is>
          <t>Q31</t>
        </is>
      </c>
      <c r="B41" s="14" t="inlineStr">
        <is>
          <t>Intermediate (Should-Know)</t>
        </is>
      </c>
      <c r="C41" s="15" t="inlineStr">
        <is>
          <t>In the sorbitol (polyol) pathway of chronic hyperglycemia, which cellular enzyme converts intracellular glucose to sorbitol, leading to osmotic tissue damage in insulin-independent tissues?</t>
        </is>
      </c>
      <c r="D41" s="15" t="inlineStr">
        <is>
          <t>Sorbitol Dehydrogenase</t>
        </is>
      </c>
      <c r="E41" s="15" t="inlineStr">
        <is>
          <t>Glucokinase</t>
        </is>
      </c>
      <c r="F41" s="15" t="inlineStr">
        <is>
          <t>Aldose Reductase</t>
        </is>
      </c>
      <c r="G41" s="15" t="inlineStr">
        <is>
          <t>Glucose-6-Phosphatase</t>
        </is>
      </c>
      <c r="H41" s="15" t="inlineStr">
        <is>
          <t>Glutamine:fructose-6-phosphate amidotransferase (GFAT)</t>
        </is>
      </c>
      <c r="I41" s="16" t="n"/>
      <c r="J41" s="17">
        <f>IF(ISBLANK(I41), "", IF(I41='Answer Key &amp; Explanations'!C41, "✅ Correct", "❌ Incorrect (See Key)"))</f>
        <v/>
      </c>
    </row>
    <row r="42" ht="65" customHeight="1">
      <c r="A42" s="18" t="inlineStr">
        <is>
          <t>Q32</t>
        </is>
      </c>
      <c r="B42" s="18" t="inlineStr">
        <is>
          <t>Intermediate (Should-Know)</t>
        </is>
      </c>
      <c r="C42" s="19" t="inlineStr">
        <is>
          <t>What is the pathophysiological mechanism behind the development of Acanthosis Nigricans (velvety, hyperpigmented skin plaques) in patients with severe insulin resistance?</t>
        </is>
      </c>
      <c r="D42" s="19" t="inlineStr">
        <is>
          <t>Direct autoimmune destruction of dermal melanocytes by CD8+ T-cells</t>
        </is>
      </c>
      <c r="E42" s="19" t="inlineStr">
        <is>
          <t>Severe hyperinsulinemia cross-activates Insulin-like Growth Factor Receptor 1 (IGFR-1) and Epidermal Growth Factor Receptor (EGFR) on keratinocytes, driving epidermal hyperplasia.</t>
        </is>
      </c>
      <c r="F42" s="19" t="inlineStr">
        <is>
          <t>Deposition of toxic islet amyloid polypeptide (IAPP) in subcutaneous capillaries</t>
        </is>
      </c>
      <c r="G42" s="19" t="inlineStr">
        <is>
          <t>Chronic local tissue ischemia driven by advanced glycation end-products (AGEs)</t>
        </is>
      </c>
      <c r="H42" s="19" t="inlineStr">
        <is>
          <t>Loss of sympathetic vascular tone leading to epidermal melanocyte expansion</t>
        </is>
      </c>
      <c r="I42" s="16" t="n"/>
      <c r="J42" s="17">
        <f>IF(ISBLANK(I42), "", IF(I42='Answer Key &amp; Explanations'!C42, "✅ Correct", "❌ Incorrect (See Key)"))</f>
        <v/>
      </c>
    </row>
    <row r="43" ht="65" customHeight="1">
      <c r="A43" s="14" t="inlineStr">
        <is>
          <t>Q33</t>
        </is>
      </c>
      <c r="B43" s="14" t="inlineStr">
        <is>
          <t>Advanced (Nice-to-Know)</t>
        </is>
      </c>
      <c r="C43" s="15" t="inlineStr">
        <is>
          <t>In the development of obesity-linked Type 2 Diabetes, how do intracellular lipid intermediates like diacylglycerols (DAG) and ceramides molecularly interfere with insulin signaling?</t>
        </is>
      </c>
      <c r="D43" s="15" t="inlineStr">
        <is>
          <t>By physically blocking the binding of insulin to its extracellular alpha-subunits.</t>
        </is>
      </c>
      <c r="E43" s="15" t="inlineStr">
        <is>
          <t>By activating stress kinases (such as novel PKCs, JNK, and IKK-beta) that phosphorylate IRS-1 on specific serine/threonine residues, blocking its activating tyrosine phosphorylation.</t>
        </is>
      </c>
      <c r="F43" s="15" t="inlineStr">
        <is>
          <t>By directly cleaving the GLUT-4 glucose transporters within the cytoplasm.</t>
        </is>
      </c>
      <c r="G43" s="15" t="inlineStr">
        <is>
          <t>By inhibiting the nuclear transcription of the insulin receptor gene.</t>
        </is>
      </c>
      <c r="H43" s="15" t="inlineStr">
        <is>
          <t>By causing covalent cross-linking of the Gs-alpha G-protein subunits.</t>
        </is>
      </c>
      <c r="I43" s="16" t="n"/>
      <c r="J43" s="17">
        <f>IF(ISBLANK(I43), "", IF(I43='Answer Key &amp; Explanations'!C43, "✅ Correct", "❌ Incorrect (See Key)"))</f>
        <v/>
      </c>
    </row>
    <row r="44" ht="65" customHeight="1">
      <c r="A44" s="18" t="inlineStr">
        <is>
          <t>Q34</t>
        </is>
      </c>
      <c r="B44" s="18" t="inlineStr">
        <is>
          <t>Advanced (Nice-to-Know)</t>
        </is>
      </c>
      <c r="C44" s="19" t="inlineStr">
        <is>
          <t>Which rate-limiting enzyme catalyzes the conversion of Fructose-6-Phosphate to Glucosamine-6-Phosphate, shunting glucose into the hexosamine pathway during chronic states of nutrient excess?</t>
        </is>
      </c>
      <c r="D44" s="19" t="inlineStr">
        <is>
          <t>Aldose Reductase</t>
        </is>
      </c>
      <c r="E44" s="19" t="inlineStr">
        <is>
          <t>Glucokinase Regulatory Protein (GKRP)</t>
        </is>
      </c>
      <c r="F44" s="19" t="inlineStr">
        <is>
          <t>Glutamine:fructose-6-phosphate amidotransferase (GFAT)</t>
        </is>
      </c>
      <c r="G44" s="19" t="inlineStr">
        <is>
          <t>O-linked N-acetylglucosamine transferase (OGT)</t>
        </is>
      </c>
      <c r="H44" s="19" t="inlineStr">
        <is>
          <t>HMG-CoA Synthase</t>
        </is>
      </c>
      <c r="I44" s="16" t="n"/>
      <c r="J44" s="17">
        <f>IF(ISBLANK(I44), "", IF(I44='Answer Key &amp; Explanations'!C44, "✅ Correct", "❌ Incorrect (See Key)"))</f>
        <v/>
      </c>
    </row>
    <row r="45" ht="65" customHeight="1">
      <c r="A45" s="14" t="inlineStr">
        <is>
          <t>Q35</t>
        </is>
      </c>
      <c r="B45" s="14" t="inlineStr">
        <is>
          <t>Advanced (Nice-to-Know)</t>
        </is>
      </c>
      <c r="C45" s="15" t="inlineStr">
        <is>
          <t>During chronic glucotoxicity, how does the hexosamine pathway molecularly impair postprandial glycogen synthesis and storage in hepatocytes?</t>
        </is>
      </c>
      <c r="D45" s="15" t="inlineStr">
        <is>
          <t>By causing proteasomal degradation of GLUT-2 transporters.</t>
        </is>
      </c>
      <c r="E45" s="15" t="inlineStr">
        <is>
          <t>By O-GlcNAcylating Glycogen Synthase via O-linked N-acetylglucosamine transferase (OGT), which physically blocks its normal regulatory phosphorylation/activation sites.</t>
        </is>
      </c>
      <c r="F45" s="15" t="inlineStr">
        <is>
          <t>By directly phosphorylating and activating Glycogen Phosphorylase.</t>
        </is>
      </c>
      <c r="G45" s="15" t="inlineStr">
        <is>
          <t>By cleaving the nuclear steroid hormone receptors in the cytoplasm.</t>
        </is>
      </c>
      <c r="H45" s="15" t="inlineStr">
        <is>
          <t>By sequestering insulin in the golgi apparatus of liver cells.</t>
        </is>
      </c>
      <c r="I45" s="16" t="n"/>
      <c r="J45" s="17">
        <f>IF(ISBLANK(I45), "", IF(I45='Answer Key &amp; Explanations'!C45, "✅ Correct", "❌ Incorrect (See Key)"))</f>
        <v/>
      </c>
    </row>
    <row r="46" ht="65" customHeight="1">
      <c r="A46" s="18" t="inlineStr">
        <is>
          <t>Q36</t>
        </is>
      </c>
      <c r="B46" s="18" t="inlineStr">
        <is>
          <t>Advanced (Nice-to-Know)</t>
        </is>
      </c>
      <c r="C46" s="19" t="inlineStr">
        <is>
          <t>In the progressive pathogenesis of Type 2 Diabetes, what is the role of Islet Amyloid Polypeptide (IAPP / Amylin) in the transition from compensatory hyperinsulinemia to absolute beta-cell secretory failure?</t>
        </is>
      </c>
      <c r="D46" s="19" t="inlineStr">
        <is>
          <t>It acts as a primary genetic cofactor that deletes the insulin gene.</t>
        </is>
      </c>
      <c r="E46" s="19" t="inlineStr">
        <is>
          <t>It misfolds and polymerizes into insoluble, extracellular amyloid plaques that physically disrupt beta-cell membranes, inducing ER stress and driving apoptosis.</t>
        </is>
      </c>
      <c r="F46" s="19" t="inlineStr">
        <is>
          <t>It acts as a potent local paracrine stimulator of beta-cell replication.</t>
        </is>
      </c>
      <c r="G46" s="19" t="inlineStr">
        <is>
          <t>It binds to renal collecting ducts to accelerate water excretion, masking hyperglycemia.</t>
        </is>
      </c>
      <c r="H46" s="19" t="inlineStr">
        <is>
          <t>It directly dephosphorylates the tyrosine kinase domain of the insulin receptor.</t>
        </is>
      </c>
      <c r="I46" s="16" t="n"/>
      <c r="J46" s="17">
        <f>IF(ISBLANK(I46), "", IF(I46='Answer Key &amp; Explanations'!C46, "✅ Correct", "❌ Incorrect (See Key)"))</f>
        <v/>
      </c>
    </row>
    <row r="47" ht="65" customHeight="1">
      <c r="A47" s="14" t="inlineStr">
        <is>
          <t>Q37</t>
        </is>
      </c>
      <c r="B47" s="14" t="inlineStr">
        <is>
          <t>Advanced (Nice-to-Know)</t>
        </is>
      </c>
      <c r="C47" s="15" t="inlineStr">
        <is>
          <t>Why do standard nitroprusside urine ketone assays often yield a deceptively 'negative or trace' result in patients presenting with severe, life-threatening Diabetic Ketoacidosis (DKA) with high mitochondrial NADH levels?</t>
        </is>
      </c>
      <c r="D47" s="15" t="inlineStr">
        <is>
          <t>Nitroprusside is unstable in the presence of acidic pH below 7.1.</t>
        </is>
      </c>
      <c r="E47" s="15" t="inlineStr">
        <is>
          <t>The high NADH/NAD+ ratio shifts the chemical equilibrium of ketone bodies away from acetoacetate and entirely into beta-hydroxybutyrate, which is biochemically invisible to the nitroprusside assay.</t>
        </is>
      </c>
      <c r="F47" s="15" t="inlineStr">
        <is>
          <t>Mitochondria in DKA selectively degrade acetoacetate into inactive CO2.</t>
        </is>
      </c>
      <c r="G47" s="15" t="inlineStr">
        <is>
          <t>High NADH levels physically bind and block the nitroprusside reagents.</t>
        </is>
      </c>
      <c r="H47" s="15" t="inlineStr">
        <is>
          <t>Acetoacetate is filtered and completely reabsorbed in the proximal tubules during severe ketosis.</t>
        </is>
      </c>
      <c r="I47" s="16" t="n"/>
      <c r="J47" s="17">
        <f>IF(ISBLANK(I47), "", IF(I47='Answer Key &amp; Explanations'!C47, "✅ Correct", "❌ Incorrect (See Key)"))</f>
        <v/>
      </c>
    </row>
    <row r="48" ht="65" customHeight="1">
      <c r="A48" s="18" t="inlineStr">
        <is>
          <t>Q38</t>
        </is>
      </c>
      <c r="B48" s="18" t="inlineStr">
        <is>
          <t>Advanced (Nice-to-Know)</t>
        </is>
      </c>
      <c r="C48" s="19" t="inlineStr">
        <is>
          <t>Under fasting (hypoglycemic) conditions, how is Glucokinase regulated in hepatocytes to prevent a futile glycolytic cycle while the liver is actively producing glucose?</t>
        </is>
      </c>
      <c r="D48" s="19" t="inlineStr">
        <is>
          <t>It is degraded by the ubiquitin-proteasome pathway.</t>
        </is>
      </c>
      <c r="E48" s="19" t="inlineStr">
        <is>
          <t>It is bound to Glucokinase Regulatory Protein (GKRP) and physically sequestered in the nucleus in an inactive state.</t>
        </is>
      </c>
      <c r="F48" s="19" t="inlineStr">
        <is>
          <t>It undergoes allosteric activation by high levels of intracellular G-6-P.</t>
        </is>
      </c>
      <c r="G48" s="19" t="inlineStr">
        <is>
          <t>It is phosphorylated by Protein Kinase C on tyrosine residues to increase its Km.</t>
        </is>
      </c>
      <c r="H48" s="19" t="inlineStr">
        <is>
          <t>It is exported from the cell via vesicular exocytosis into the bile duct.</t>
        </is>
      </c>
      <c r="I48" s="16" t="n"/>
      <c r="J48" s="17">
        <f>IF(ISBLANK(I48), "", IF(I48='Answer Key &amp; Explanations'!C48, "✅ Correct", "❌ Incorrect (See Key)"))</f>
        <v/>
      </c>
    </row>
    <row r="49" ht="65" customHeight="1">
      <c r="A49" s="14" t="inlineStr">
        <is>
          <t>Q39</t>
        </is>
      </c>
      <c r="B49" s="14" t="inlineStr">
        <is>
          <t>Advanced (Nice-to-Know)</t>
        </is>
      </c>
      <c r="C49" s="15" t="inlineStr">
        <is>
          <t>Which of the following hormone surges is responsible for the 'Dawn Phenomenon'—the early morning increase in blood glucose and insulin resistance in diabetic patients?</t>
        </is>
      </c>
      <c r="D49" s="15" t="inlineStr">
        <is>
          <t>Nocturnal surges of glucagon and aldosterone</t>
        </is>
      </c>
      <c r="E49" s="15" t="inlineStr">
        <is>
          <t>Early morning surges of growth hormone and cortisol</t>
        </is>
      </c>
      <c r="F49" s="15" t="inlineStr">
        <is>
          <t>An acute drop in thyroid-stimulating hormone (TSH) secretion</t>
        </is>
      </c>
      <c r="G49" s="15" t="inlineStr">
        <is>
          <t>A sudden nocturnal surge of insulin from pancreatic delta-cells</t>
        </is>
      </c>
      <c r="H49" s="15" t="inlineStr">
        <is>
          <t>Early morning release of prolactin and oxytocin</t>
        </is>
      </c>
      <c r="I49" s="16" t="n"/>
      <c r="J49" s="17">
        <f>IF(ISBLANK(I49), "", IF(I49='Answer Key &amp; Explanations'!C49, "✅ Correct", "❌ Incorrect (See Key)"))</f>
        <v/>
      </c>
    </row>
    <row r="50" ht="65" customHeight="1">
      <c r="A50" s="18" t="inlineStr">
        <is>
          <t>Q40</t>
        </is>
      </c>
      <c r="B50" s="18" t="inlineStr">
        <is>
          <t>Advanced (Nice-to-Know)</t>
        </is>
      </c>
      <c r="C50" s="19" t="inlineStr">
        <is>
          <t>In a patient presenting with DKA, why can a standard serum chemistry panel show a normal or elevated potassium level despite the patient having severe total-body potassium depletion?</t>
        </is>
      </c>
      <c r="D50" s="19" t="inlineStr">
        <is>
          <t>Acidosis and insulin deficiency cause a transcellular shift of potassium out of cells into the extracellular fluid, masking severe total-body urinary potassium loss.</t>
        </is>
      </c>
      <c r="E50" s="19" t="inlineStr">
        <is>
          <t>The kidneys selectively reabsorb 100% of filtered potassium during ketoacidosis.</t>
        </is>
      </c>
      <c r="F50" s="19" t="inlineStr">
        <is>
          <t>High levels of circulating acetoacetate complex with potassium to prevent its filtration.</t>
        </is>
      </c>
      <c r="G50" s="19" t="inlineStr">
        <is>
          <t>Hyperventilatory respiratory alkalosis traps potassium inside the vascular space.</t>
        </is>
      </c>
      <c r="H50" s="19" t="inlineStr">
        <is>
          <t>Insulin deficiency blocks the sodium-potassium ATPase pump in erythrocytes, driving cellular lysis.</t>
        </is>
      </c>
      <c r="I50" s="16" t="n"/>
      <c r="J50" s="17">
        <f>IF(ISBLANK(I50), "", IF(I50='Answer Key &amp; Explanations'!C50, "✅ Correct", "❌ Incorrect (See Key)"))</f>
        <v/>
      </c>
    </row>
  </sheetData>
  <mergeCells count="1">
    <mergeCell ref="A5:B5"/>
  </mergeCells>
  <dataValidations count="1">
    <dataValidation sqref="I11:I50" showDropDown="0" showInputMessage="0" showErrorMessage="0" allowBlank="1" errorTitle="Invalid Selection" error="Your answer must be a single letter: A, B, C, D, or E." promptTitle="Select Answer" prompt="Select your answer (A, B, C, D, or E) from the list"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0"/>
  <sheetViews>
    <sheetView showGridLines="0" workbookViewId="0">
      <selection activeCell="A1" sqref="A1"/>
    </sheetView>
  </sheetViews>
  <sheetFormatPr baseColWidth="8" defaultRowHeight="15"/>
  <cols>
    <col width="8" customWidth="1" min="1" max="1"/>
    <col width="30" customWidth="1" min="2" max="2"/>
    <col width="16" customWidth="1" min="3" max="3"/>
    <col width="90" customWidth="1" min="4" max="4"/>
  </cols>
  <sheetData>
    <row r="2">
      <c r="A2" s="1" t="inlineStr">
        <is>
          <t>Section 2 Interactive Assessment System</t>
        </is>
      </c>
    </row>
    <row r="3">
      <c r="A3" s="2" t="inlineStr">
        <is>
          <t>Instructor &amp; Review Portal | Detailed Physiologic Explanations</t>
        </is>
      </c>
    </row>
    <row r="5" ht="25" customHeight="1">
      <c r="A5" s="3" t="inlineStr">
        <is>
          <t>MASTER ANSWER KEY &amp; CLINICAL RATIONALES</t>
        </is>
      </c>
    </row>
    <row r="10" ht="25" customHeight="1">
      <c r="A10" s="4" t="inlineStr">
        <is>
          <t>ID</t>
        </is>
      </c>
      <c r="B10" s="4" t="inlineStr">
        <is>
          <t>Difficulty Tier / Topic</t>
        </is>
      </c>
      <c r="C10" s="4" t="inlineStr">
        <is>
          <t>Correct Answer</t>
        </is>
      </c>
      <c r="D10" s="4" t="inlineStr">
        <is>
          <t>Physiologic Rationale (Textbook-Grounded)</t>
        </is>
      </c>
    </row>
    <row r="11" ht="70" customHeight="1">
      <c r="A11" s="20" t="inlineStr">
        <is>
          <t>Q1</t>
        </is>
      </c>
      <c r="B11" s="20" t="inlineStr">
        <is>
          <t>Basic (Must-Know)
Pancreas Cell Biology</t>
        </is>
      </c>
      <c r="C11" s="21" t="inlineStr">
        <is>
          <t>B</t>
        </is>
      </c>
      <c r="D11" s="22" t="inlineStr">
        <is>
          <t>Beta cells make up 60–75% of the islet core and secrete insulin. Alpha cells secrete glucagon, Delta cells secrete somatostatin, F cells secrete pancreatic polypeptide, and acinar cells are exocrine (secreting digestive enzymes).</t>
        </is>
      </c>
    </row>
    <row r="12" ht="70" customHeight="1">
      <c r="A12" s="23" t="inlineStr">
        <is>
          <t>Q2</t>
        </is>
      </c>
      <c r="B12" s="23" t="inlineStr">
        <is>
          <t>Basic (Must-Know)
Metabolic Hormones</t>
        </is>
      </c>
      <c r="C12" s="24" t="inlineStr">
        <is>
          <t>B</t>
        </is>
      </c>
      <c r="D12" s="25" t="inlineStr">
        <is>
          <t>Insulin is the primary anabolic hormone. It promotes the clearance and storage of glucose as glycogen (glycogenesis) and lipids as triglycerides (lipogenesis), and stimulates protein synthesis while inhibiting catabolic pathways.</t>
        </is>
      </c>
    </row>
    <row r="13" ht="70" customHeight="1">
      <c r="A13" s="20" t="inlineStr">
        <is>
          <t>Q3</t>
        </is>
      </c>
      <c r="B13" s="20" t="inlineStr">
        <is>
          <t>Basic (Must-Know)
Metabolic Hormones</t>
        </is>
      </c>
      <c r="C13" s="21" t="inlineStr">
        <is>
          <t>D</t>
        </is>
      </c>
      <c r="D13" s="22" t="inlineStr">
        <is>
          <t>Glucagon is a catabolic hormone. Under fasting/hypoglycemia, it activates Gs-coupled receptors in hepatocytes to raise cAMP and activate PKA, driving glycogenolysis and gluconeogenesis to maintain systemic glucose levels.</t>
        </is>
      </c>
    </row>
    <row r="14" ht="70" customHeight="1">
      <c r="A14" s="23" t="inlineStr">
        <is>
          <t>Q4</t>
        </is>
      </c>
      <c r="B14" s="23" t="inlineStr">
        <is>
          <t>Basic (Must-Know)
Pancreas Cell Biology</t>
        </is>
      </c>
      <c r="C14" s="24" t="inlineStr">
        <is>
          <t>D</t>
        </is>
      </c>
      <c r="D14" s="25" t="inlineStr">
        <is>
          <t>Alpha cells (comprising approximately 20% of the peripheral islet mantle) synthesize and secrete glucagon in response to hypoglycemia.</t>
        </is>
      </c>
    </row>
    <row r="15" ht="70" customHeight="1">
      <c r="A15" s="20" t="inlineStr">
        <is>
          <t>Q5</t>
        </is>
      </c>
      <c r="B15" s="20" t="inlineStr">
        <is>
          <t>Basic (Must-Know)
Clinical Symptomatology</t>
        </is>
      </c>
      <c r="C15" s="21" t="inlineStr">
        <is>
          <t>B</t>
        </is>
      </c>
      <c r="D15" s="22" t="inlineStr">
        <is>
          <t>When plasma glucose exceeds the renal threshold (approx. 180 mg/dL), SGLT-2 transporters saturate, leading to glucose in the urine (glycosuria). This glucose acts as an osmotically active solute, pulling water with it and driving osmotic diuresis (polyuria).</t>
        </is>
      </c>
    </row>
    <row r="16" ht="70" customHeight="1">
      <c r="A16" s="23" t="inlineStr">
        <is>
          <t>Q6</t>
        </is>
      </c>
      <c r="B16" s="23" t="inlineStr">
        <is>
          <t>Basic (Must-Know)
Clinical Symptomatology</t>
        </is>
      </c>
      <c r="C16" s="24" t="inlineStr">
        <is>
          <t>B</t>
        </is>
      </c>
      <c r="D16" s="25" t="inlineStr">
        <is>
          <t>Osmotic water loss from polyuria increases extracellular fluid osmolality. This draws water out of intracellular compartments, shrinking hypothalamic osmoreceptors and triggering the conscious sensation of thirst (polydipsia).</t>
        </is>
      </c>
    </row>
    <row r="17" ht="70" customHeight="1">
      <c r="A17" s="20" t="inlineStr">
        <is>
          <t>Q7</t>
        </is>
      </c>
      <c r="B17" s="20" t="inlineStr">
        <is>
          <t>Basic (Must-Know)
Clinical Symptomatology</t>
        </is>
      </c>
      <c r="C17" s="21" t="inlineStr">
        <is>
          <t>A</t>
        </is>
      </c>
      <c r="D17" s="22" t="inlineStr">
        <is>
          <t>Because insulin deficiency or resistance blocks glucose uptake into insulin-dependent cells (like hypothalamic satiety centers), the brain perceives a state of starvation ('starvation in the midst of plenty'), triggering persistent hunger (polyphagia).</t>
        </is>
      </c>
    </row>
    <row r="18" ht="70" customHeight="1">
      <c r="A18" s="23" t="inlineStr">
        <is>
          <t>Q8</t>
        </is>
      </c>
      <c r="B18" s="23" t="inlineStr">
        <is>
          <t>Basic (Must-Know)
Classification of Diabetes</t>
        </is>
      </c>
      <c r="C18" s="24" t="inlineStr">
        <is>
          <t>B</t>
        </is>
      </c>
      <c r="D18" s="25" t="inlineStr">
        <is>
          <t>Type 1 Diabetes is characterized by an absolute insulin deficiency due to progressive, autoimmune (T-cell-mediated) destruction of the pancreatic beta-cells. Type 2 Diabetes is characterized by tissue insulin resistance combined with a relative insulin deficiency.</t>
        </is>
      </c>
    </row>
    <row r="19" ht="70" customHeight="1">
      <c r="A19" s="20" t="inlineStr">
        <is>
          <t>Q9</t>
        </is>
      </c>
      <c r="B19" s="20" t="inlineStr">
        <is>
          <t>Basic (Must-Know)
Classification of Diabetes</t>
        </is>
      </c>
      <c r="C19" s="21" t="inlineStr">
        <is>
          <t>C</t>
        </is>
      </c>
      <c r="D19" s="22" t="inlineStr">
        <is>
          <t>Type 2 Diabetes arises from a combination of peripheral tissue insulin resistance (most commonly driven by obesity and lipid overload) and a relative (inadequate) insulin secretory response from beta-cells.</t>
        </is>
      </c>
    </row>
    <row r="20" ht="70" customHeight="1">
      <c r="A20" s="23" t="inlineStr">
        <is>
          <t>Q10</t>
        </is>
      </c>
      <c r="B20" s="23" t="inlineStr">
        <is>
          <t>Basic (Must-Know)
Pancreas Cell Biology</t>
        </is>
      </c>
      <c r="C20" s="24" t="inlineStr">
        <is>
          <t>B</t>
        </is>
      </c>
      <c r="D20" s="25" t="inlineStr">
        <is>
          <t>Delta cells (about 5% of islet cells) secrete Somatostatin, which acts locally via paracrine pathways to inhibit both insulin and glucagon secretion.</t>
        </is>
      </c>
    </row>
    <row r="21" ht="70" customHeight="1">
      <c r="A21" s="20" t="inlineStr">
        <is>
          <t>Q11</t>
        </is>
      </c>
      <c r="B21" s="20" t="inlineStr">
        <is>
          <t>Basic (Must-Know)
Immunopathology</t>
        </is>
      </c>
      <c r="C21" s="21" t="inlineStr">
        <is>
          <t>B</t>
        </is>
      </c>
      <c r="D21" s="22" t="inlineStr">
        <is>
          <t>Autoimmune Type 1 Diabetes is characterized by the presence of autoantibodies against beta-cell components, most notably Glutamic Acid Decarboxylase 65 (GADA / GAD65), Insulin Autoantibodies (IAA), and Islet Cell Antibodies (ICA).</t>
        </is>
      </c>
    </row>
    <row r="22" ht="70" customHeight="1">
      <c r="A22" s="23" t="inlineStr">
        <is>
          <t>Q12</t>
        </is>
      </c>
      <c r="B22" s="23" t="inlineStr">
        <is>
          <t>Basic (Must-Know)
Clinical Symptomatology</t>
        </is>
      </c>
      <c r="C22" s="24" t="inlineStr">
        <is>
          <t>A</t>
        </is>
      </c>
      <c r="D22" s="25" t="inlineStr">
        <is>
          <t>Hypoglycemia triggers an autonomic counterregulatory response. Adrenergic/autonomic symptoms include sweating (diaphoresis), tremors, anxiety, and palpitations (tachycardia) due to epinephrine release.</t>
        </is>
      </c>
    </row>
    <row r="23" ht="70" customHeight="1">
      <c r="A23" s="20" t="inlineStr">
        <is>
          <t>Q13</t>
        </is>
      </c>
      <c r="B23" s="20" t="inlineStr">
        <is>
          <t>Basic (Must-Know)
Fuel Sensing</t>
        </is>
      </c>
      <c r="C23" s="21" t="inlineStr">
        <is>
          <t>B</t>
        </is>
      </c>
      <c r="D23" s="22" t="inlineStr">
        <is>
          <t>Insulin release is primarily triggered by rising plasma glucose levels, which enter beta-cells, accelerate metabolic ATP production, and drive the exocytosis pathway.</t>
        </is>
      </c>
    </row>
    <row r="24" ht="70" customHeight="1">
      <c r="A24" s="23" t="inlineStr">
        <is>
          <t>Q14</t>
        </is>
      </c>
      <c r="B24" s="23" t="inlineStr">
        <is>
          <t>Basic (Must-Know)
Metabolic Integration</t>
        </is>
      </c>
      <c r="C24" s="24" t="inlineStr">
        <is>
          <t>C</t>
        </is>
      </c>
      <c r="D24" s="25" t="inlineStr">
        <is>
          <t>Insulin stimulates glycogenesis (storing glucose as glycogen) by activating Protein Phosphatase-1 (PP-1), which switches on Glycogen Synthase.</t>
        </is>
      </c>
    </row>
    <row r="25" ht="70" customHeight="1">
      <c r="A25" s="20" t="inlineStr">
        <is>
          <t>Q15</t>
        </is>
      </c>
      <c r="B25" s="20" t="inlineStr">
        <is>
          <t>Basic (Must-Know)
Metabolic Integration</t>
        </is>
      </c>
      <c r="C25" s="21" t="inlineStr">
        <is>
          <t>B</t>
        </is>
      </c>
      <c r="D25" s="22" t="inlineStr">
        <is>
          <t>Glucagon is released by alpha cells during fasting. It acts on the liver to stimulate glycogenolysis and gluconeogenesis, releasing glucose into the systemic circulation.</t>
        </is>
      </c>
    </row>
    <row r="26" ht="70" customHeight="1">
      <c r="A26" s="23" t="inlineStr">
        <is>
          <t>Q16</t>
        </is>
      </c>
      <c r="B26" s="23" t="inlineStr">
        <is>
          <t>Basic (Must-Know)
Metabolic Integration</t>
        </is>
      </c>
      <c r="C26" s="24" t="inlineStr">
        <is>
          <t>C</t>
        </is>
      </c>
      <c r="D26" s="25" t="inlineStr">
        <is>
          <t>Skeletal muscle and adipose tissue are insulin-dependent, requiring insulin-stimulated GLUT-4 translocation. The brain, erythrocytes, and beta-cells utilize insulin-independent glucose transporters (GLUT-1, GLUT-3, GLUT-2).</t>
        </is>
      </c>
    </row>
    <row r="27" ht="70" customHeight="1">
      <c r="A27" s="20" t="inlineStr">
        <is>
          <t>Q17</t>
        </is>
      </c>
      <c r="B27" s="20" t="inlineStr">
        <is>
          <t>Basic (Must-Know)
Clinical Symptomatology</t>
        </is>
      </c>
      <c r="C27" s="21" t="inlineStr">
        <is>
          <t>B</t>
        </is>
      </c>
      <c r="D27" s="22" t="inlineStr">
        <is>
          <t>The 'honeymoon period' is a temporary phase in early T1DM where starting insulin therapy relieves metabolic strain and glucotoxicity on the remaining, undamaged beta-cells, allowing them to temporarily secrete enough insulin to normalize blood glucose with minimal exogenous therapy.</t>
        </is>
      </c>
    </row>
    <row r="28" ht="70" customHeight="1">
      <c r="A28" s="23" t="inlineStr">
        <is>
          <t>Q18</t>
        </is>
      </c>
      <c r="B28" s="23" t="inlineStr">
        <is>
          <t>Basic (Must-Know)
Clinical Symptomatology</t>
        </is>
      </c>
      <c r="C28" s="24" t="inlineStr">
        <is>
          <t>C</t>
        </is>
      </c>
      <c r="D28" s="25" t="inlineStr">
        <is>
          <t>Neuroglycopenic symptoms arise from direct brain glucose deprivation and include confusion, headache, dizziness, lethargy, seizures, and ultimately coma. Sweating and palpitations are autonomic/adrenergic symptoms.</t>
        </is>
      </c>
    </row>
    <row r="29" ht="70" customHeight="1">
      <c r="A29" s="20" t="inlineStr">
        <is>
          <t>Q19</t>
        </is>
      </c>
      <c r="B29" s="20" t="inlineStr">
        <is>
          <t>Basic (Must-Know)
Pancreas Cell Biology</t>
        </is>
      </c>
      <c r="C29" s="21" t="inlineStr">
        <is>
          <t>C</t>
        </is>
      </c>
      <c r="D29" s="22" t="inlineStr">
        <is>
          <t>The exocrine pancreas is composed of acinar cells that secrete digestive enzymes (lipase, amylase, trypsinogen) into the pancreatic duct. It must not be confused with the endocrine islets of Langerhans.</t>
        </is>
      </c>
    </row>
    <row r="30" ht="70" customHeight="1">
      <c r="A30" s="23" t="inlineStr">
        <is>
          <t>Q20</t>
        </is>
      </c>
      <c r="B30" s="23" t="inlineStr">
        <is>
          <t>Basic (Must-Know)
Clinical Symptomatology</t>
        </is>
      </c>
      <c r="C30" s="24" t="inlineStr">
        <is>
          <t>C</t>
        </is>
      </c>
      <c r="D30" s="25" t="inlineStr">
        <is>
          <t>Diabetic Ketoacidosis (DKA) is a life-threatening acute complication of absolute insulin deficiency. It presents with severe hyperglycemia, metabolic anion-gap acidosis (Kussmaul breathing, fruity breath from acetone), and dehydration.</t>
        </is>
      </c>
    </row>
    <row r="31" ht="70" customHeight="1">
      <c r="A31" s="20" t="inlineStr">
        <is>
          <t>Q21</t>
        </is>
      </c>
      <c r="B31" s="20" t="inlineStr">
        <is>
          <t>Intermediate (Should-Know)
Laboratory Diagnosis</t>
        </is>
      </c>
      <c r="C31" s="21" t="inlineStr">
        <is>
          <t>C</t>
        </is>
      </c>
      <c r="D31" s="22" t="inlineStr">
        <is>
          <t>A fasting venous plasma glucose level of &gt;= 7.0 mmol/L (after an 8-hour fast) is diagnostic for Diabetes Mellitus on venous blood testing.</t>
        </is>
      </c>
    </row>
    <row r="32" ht="70" customHeight="1">
      <c r="A32" s="23" t="inlineStr">
        <is>
          <t>Q22</t>
        </is>
      </c>
      <c r="B32" s="23" t="inlineStr">
        <is>
          <t>Intermediate (Should-Know)
Laboratory Diagnosis</t>
        </is>
      </c>
      <c r="C32" s="24" t="inlineStr">
        <is>
          <t>C</t>
        </is>
      </c>
      <c r="D32" s="25" t="inlineStr">
        <is>
          <t>An HbA1c level of &gt;= 6.5% (48 mmol/mol) is diagnostic of Diabetes Mellitus. HbA1c reflects the average plasma glucose concentration over the preceding 2-3 months.</t>
        </is>
      </c>
    </row>
    <row r="33" ht="70" customHeight="1">
      <c r="A33" s="20" t="inlineStr">
        <is>
          <t>Q23</t>
        </is>
      </c>
      <c r="B33" s="20" t="inlineStr">
        <is>
          <t>Intermediate (Should-Know)
Laboratory Diagnosis</t>
        </is>
      </c>
      <c r="C33" s="21" t="inlineStr">
        <is>
          <t>D</t>
        </is>
      </c>
      <c r="D33" s="22" t="inlineStr">
        <is>
          <t>In a symptomatic patient, a single random venous plasma glucose of &gt;= 11.1 mmol/L is diagnostic. In asymptomatic patients, two abnormal tests on separate days are required.</t>
        </is>
      </c>
    </row>
    <row r="34" ht="70" customHeight="1">
      <c r="A34" s="23" t="inlineStr">
        <is>
          <t>Q24</t>
        </is>
      </c>
      <c r="B34" s="23" t="inlineStr">
        <is>
          <t>Intermediate (Should-Know)
Fuel Sensing</t>
        </is>
      </c>
      <c r="C34" s="24" t="inlineStr">
        <is>
          <t>B</t>
        </is>
      </c>
      <c r="D34" s="25" t="inlineStr">
        <is>
          <t>Glucokinase has a high Km (approx. 10 mmol/L, low affinity), whereas Hexokinase has a low Km (approx. 0.05 mmol/L, high affinity). This low affinity prevents Glucokinase from saturating at physiological glucose ranges, making it an excellent sensor.</t>
        </is>
      </c>
    </row>
    <row r="35" ht="70" customHeight="1">
      <c r="A35" s="20" t="inlineStr">
        <is>
          <t>Q25</t>
        </is>
      </c>
      <c r="B35" s="20" t="inlineStr">
        <is>
          <t>Intermediate (Should-Know)
Fuel Sensing</t>
        </is>
      </c>
      <c r="C35" s="21" t="inlineStr">
        <is>
          <t>B</t>
        </is>
      </c>
      <c r="D35" s="22" t="inlineStr">
        <is>
          <t>GLUT-2 is a high-capacity, low-affinity, insulin-independent transporter present on hepatocytes and beta-cells, allowing intracellular glucose to perfectly mirror blood glucose concentrations.</t>
        </is>
      </c>
    </row>
    <row r="36" ht="70" customHeight="1">
      <c r="A36" s="23" t="inlineStr">
        <is>
          <t>Q26</t>
        </is>
      </c>
      <c r="B36" s="23" t="inlineStr">
        <is>
          <t>Intermediate (Should-Know)
Glucose-Stimulated Insulin Secretion</t>
        </is>
      </c>
      <c r="C36" s="24" t="inlineStr">
        <is>
          <t>B</t>
        </is>
      </c>
      <c r="D36" s="25" t="inlineStr">
        <is>
          <t>A rise in intracellular ATP closes ATP-sensitive potassium channels (composed of Kir6.2 and SUR1 subunits). This traps K+ inside, depolarizing the cell membrane.</t>
        </is>
      </c>
    </row>
    <row r="37" ht="70" customHeight="1">
      <c r="A37" s="20" t="inlineStr">
        <is>
          <t>Q27</t>
        </is>
      </c>
      <c r="B37" s="20" t="inlineStr">
        <is>
          <t>Intermediate (Should-Know)
Glucose-Stimulated Insulin Secretion</t>
        </is>
      </c>
      <c r="C37" s="21" t="inlineStr">
        <is>
          <t>A</t>
        </is>
      </c>
      <c r="D37" s="22" t="inlineStr">
        <is>
          <t>Membrane depolarization opens voltage-gated L-type calcium channels. The resulting influx of extracellular calcium triggers microfilaments and SNARE proteins to drive exocytosis of stored insulin and C-peptide.</t>
        </is>
      </c>
    </row>
    <row r="38" ht="70" customHeight="1">
      <c r="A38" s="23" t="inlineStr">
        <is>
          <t>Q28</t>
        </is>
      </c>
      <c r="B38" s="23" t="inlineStr">
        <is>
          <t>Intermediate (Should-Know)
Glucose-Stimulated Insulin Secretion</t>
        </is>
      </c>
      <c r="C38" s="24" t="inlineStr">
        <is>
          <t>B</t>
        </is>
      </c>
      <c r="D38" s="25" t="inlineStr">
        <is>
          <t>Insulin and C-peptide are cleaved from proinsulin in equimolar amounts and co-secreted. Because exogenous insulin lacks C-peptide, measuring C-peptide provides an accurate assessment of endogenous beta-cell function.</t>
        </is>
      </c>
    </row>
    <row r="39" ht="70" customHeight="1">
      <c r="A39" s="20" t="inlineStr">
        <is>
          <t>Q29</t>
        </is>
      </c>
      <c r="B39" s="20" t="inlineStr">
        <is>
          <t>Intermediate (Should-Know)
Glucose-Stimulated Insulin Secretion</t>
        </is>
      </c>
      <c r="C39" s="21" t="inlineStr">
        <is>
          <t>B</t>
        </is>
      </c>
      <c r="D39" s="22" t="inlineStr">
        <is>
          <t>The incretin effect is driven by gut hormones GLP-1 and GIP released upon eating. They bind to Gs-coupled receptors on beta-cells, activating cAMP/PKA to dramatically potentiate the GSIS exocytosis of insulin.</t>
        </is>
      </c>
    </row>
    <row r="40" ht="70" customHeight="1">
      <c r="A40" s="23" t="inlineStr">
        <is>
          <t>Q30</t>
        </is>
      </c>
      <c r="B40" s="23" t="inlineStr">
        <is>
          <t>Intermediate (Should-Know)
Acute Metabolic Crises</t>
        </is>
      </c>
      <c r="C40" s="24" t="inlineStr">
        <is>
          <t>B</t>
        </is>
      </c>
      <c r="D40" s="25" t="inlineStr">
        <is>
          <t>Lipolysis (fat breakdown) in adipose tissue is suppressed by approximately 1/10th the concentration of insulin required to drive muscle glucose uptake. HHS (Type 2 DM) has enough relative insulin to suppress HSL and block ketogenesis, but not enough to clear glucose, leading to extreme hyperglycemia (&gt;600 mg/dL) and hyperosmolality without ketoacidosis.</t>
        </is>
      </c>
    </row>
    <row r="41" ht="70" customHeight="1">
      <c r="A41" s="20" t="inlineStr">
        <is>
          <t>Q31</t>
        </is>
      </c>
      <c r="B41" s="20" t="inlineStr">
        <is>
          <t>Intermediate (Should-Know)
Chronic Complications</t>
        </is>
      </c>
      <c r="C41" s="21" t="inlineStr">
        <is>
          <t>C</t>
        </is>
      </c>
      <c r="D41" s="22" t="inlineStr">
        <is>
          <t>Aldose Reductase converts glucose to sorbitol utilizing NADPH. Sorbitol is a polar organic osmol that cannot easily cross membranes, accumulating and causing osmotic swelling and damage in insulin-independent tissues (lens, nerves, glomerulus).</t>
        </is>
      </c>
    </row>
    <row r="42" ht="70" customHeight="1">
      <c r="A42" s="23" t="inlineStr">
        <is>
          <t>Q32</t>
        </is>
      </c>
      <c r="B42" s="23" t="inlineStr">
        <is>
          <t>Intermediate (Should-Know)
Chronic Complications</t>
        </is>
      </c>
      <c r="C42" s="24" t="inlineStr">
        <is>
          <t>B</t>
        </is>
      </c>
      <c r="D42" s="25" t="inlineStr">
        <is>
          <t>Severe insulin resistance drives compensatory hyperinsulinemia. Extremely high circulating insulin levels cross-bind to IGFR-1 and EGFR on dermal fibroblasts and keratinocytes, stimulating proliferation and resulting in hyperplastic, velvety skin plaques.</t>
        </is>
      </c>
    </row>
    <row r="43" ht="70" customHeight="1">
      <c r="A43" s="20" t="inlineStr">
        <is>
          <t>Q33</t>
        </is>
      </c>
      <c r="B43" s="20" t="inlineStr">
        <is>
          <t>Advanced (Nice-to-Know)
Insulin Resistance Pathogenesis</t>
        </is>
      </c>
      <c r="C43" s="21" t="inlineStr">
        <is>
          <t>B</t>
        </is>
      </c>
      <c r="D43" s="22" t="inlineStr">
        <is>
          <t>Lipotoxicity triggers diacylglycerol (DAG) accumulation, activating novel PKCs and stress-activated kinases like JNK and IKK-beta. These kinases phosphorylate IRS-1 on specific serine/threonine residues (such as Ser307), which physically blocks the normal, activating tyrosine phosphorylation by the insulin receptor, short-circuiting downstream PI3K/Akt signaling and GLUT-4 translocation.</t>
        </is>
      </c>
    </row>
    <row r="44" ht="70" customHeight="1">
      <c r="A44" s="23" t="inlineStr">
        <is>
          <t>Q34</t>
        </is>
      </c>
      <c r="B44" s="23" t="inlineStr">
        <is>
          <t>Advanced (Nice-to-Know)
Glucotoxicity Pathogenesis</t>
        </is>
      </c>
      <c r="C44" s="24" t="inlineStr">
        <is>
          <t>C</t>
        </is>
      </c>
      <c r="D44" s="25" t="inlineStr">
        <is>
          <t>GFAT is the rate-limiting enzyme of the hexosamine pathway. It transfers an amino group from glutamine to Fructose-6-Phosphate, shunting it out of glycolysis to generate glucosamine-6-phosphate and ultimately UDP-GlcNAc.</t>
        </is>
      </c>
    </row>
    <row r="45" ht="70" customHeight="1">
      <c r="A45" s="20" t="inlineStr">
        <is>
          <t>Q35</t>
        </is>
      </c>
      <c r="B45" s="20" t="inlineStr">
        <is>
          <t>Advanced (Nice-to-Know)
Glucotoxicity Pathogenesis</t>
        </is>
      </c>
      <c r="C45" s="21" t="inlineStr">
        <is>
          <t>B</t>
        </is>
      </c>
      <c r="D45" s="22" t="inlineStr">
        <is>
          <t>High glucose drives the synthesis of UDP-GlcNAc, which stimulates OGT to O-GlcNAcylate Glycogen Synthase. This excessive O-glycosylation physically blocks the regulatory sites on Glycogen Synthase, preventing its activation in response to insulin and severely impairing postprandial glycogen storage.</t>
        </is>
      </c>
    </row>
    <row r="46" ht="70" customHeight="1">
      <c r="A46" s="23" t="inlineStr">
        <is>
          <t>Q36</t>
        </is>
      </c>
      <c r="B46" s="23" t="inlineStr">
        <is>
          <t>Advanced (Nice-to-Know)
Progressive Beta-Cell Failure</t>
        </is>
      </c>
      <c r="C46" s="24" t="inlineStr">
        <is>
          <t>B</t>
        </is>
      </c>
      <c r="D46" s="25" t="inlineStr">
        <is>
          <t>Amylin (IAPP) is co-secreted with insulin. During chronic hypersecretion, monomeric amylin misfolds and aggregates into oligomers and insoluble amyloid plaques within the islets, physically disrupting cell membranes, triggering ER stress/ROS, and driving progressive beta-cell apoptosis.</t>
        </is>
      </c>
    </row>
    <row r="47" ht="70" customHeight="1">
      <c r="A47" s="20" t="inlineStr">
        <is>
          <t>Q37</t>
        </is>
      </c>
      <c r="B47" s="20" t="inlineStr">
        <is>
          <t>Advanced (Nice-to-Know)
Acute Metabolic Crises</t>
        </is>
      </c>
      <c r="C47" s="21" t="inlineStr">
        <is>
          <t>B</t>
        </is>
      </c>
      <c r="D47" s="22" t="inlineStr">
        <is>
          <t>Severe insulin deficiency in DKA drives beta-oxidation and accumulates mitochondrial NADH. This high NADH/NAD+ ratio shifts the equilibrium of acetoacetate to beta-hydroxybutyrate. Because nitroprusside strips only react with acetoacetate, they fail to detect beta-hydroxybutyrate, creating a deceptively low/negative ketone reading despite severe ketoacidosis.</t>
        </is>
      </c>
    </row>
    <row r="48" ht="70" customHeight="1">
      <c r="A48" s="23" t="inlineStr">
        <is>
          <t>Q38</t>
        </is>
      </c>
      <c r="B48" s="23" t="inlineStr">
        <is>
          <t>Advanced (Nice-to-Know)
Fuel Sensing</t>
        </is>
      </c>
      <c r="C48" s="24" t="inlineStr">
        <is>
          <t>B</t>
        </is>
      </c>
      <c r="D48" s="25" t="inlineStr">
        <is>
          <t>During fasting, hepatic Glucokinase is kept inactive by being bound to Glucokinase Regulatory Protein (GKRP) and sequestered inside the nucleus. Upon feeding, rising intracellular glucose binds GKRP, prompting the release and translocation of Glucokinase back to the cytoplasm to phosphorylate incoming glucose.</t>
        </is>
      </c>
    </row>
    <row r="49" ht="70" customHeight="1">
      <c r="A49" s="20" t="inlineStr">
        <is>
          <t>Q39</t>
        </is>
      </c>
      <c r="B49" s="20" t="inlineStr">
        <is>
          <t>Advanced (Nice-to-Know)
Metabolic Regulation</t>
        </is>
      </c>
      <c r="C49" s="21" t="inlineStr">
        <is>
          <t>B</t>
        </is>
      </c>
      <c r="D49" s="22" t="inlineStr">
        <is>
          <t>The 'Dawn Phenomenon' is caused by early morning surges of growth hormone and cortisol. These counterregulatory hormones transiently increase insulin resistance and hepatic gluconeogenesis, causing a rise in fasting blood glucose in the morning.</t>
        </is>
      </c>
    </row>
    <row r="50" ht="70" customHeight="1">
      <c r="A50" s="23" t="inlineStr">
        <is>
          <t>Q40</t>
        </is>
      </c>
      <c r="B50" s="23" t="inlineStr">
        <is>
          <t>Advanced (Nice-to-Know)
Acute Metabolic Crises</t>
        </is>
      </c>
      <c r="C50" s="24" t="inlineStr">
        <is>
          <t>A</t>
        </is>
      </c>
      <c r="D50" s="25" t="inlineStr">
        <is>
          <t>In DKA, absolute insulin deficiency and intracellular buffering of excess H+ ions (acidosis) cause potassium to shift out of cells into the ECF. This transcellular shift can make serum potassium look normal or high, even though the patient has severe total-body potassium depletion due to urinary loss from osmotic diuresis.</t>
        </is>
      </c>
    </row>
  </sheetData>
  <mergeCells count="1">
    <mergeCell ref="A5:D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2026-09-03T02:44:21Z</dcterms:created>
  <dcterms:modified xmlns:dcterms="http://purl.org/dc/terms/" xmlns:xsi="http://www.w3.org/2001/XMLSchema-instance" xsi:type="dcterms:W3CDTF">2026-09-03T02:44:21Z</dcterms:modified>
</cp:coreProperties>
</file>