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nteractive Quiz" sheetId="2" state="visible" r:id="rId2"/>
    <sheet xmlns:r="http://schemas.openxmlformats.org/officeDocument/2006/relationships" name="Answer Key &amp; Expla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1" pivotButton="0" quotePrefix="0" xfId="0"/>
    <xf numFmtId="0" fontId="2" fillId="5" borderId="1" pivotButton="0" quotePrefix="0" xfId="0"/>
    <xf numFmtId="0" fontId="4" fillId="2" borderId="1" pivotButton="0" quotePrefix="0" xfId="0"/>
    <xf numFmtId="0" fontId="2" fillId="6" borderId="1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MODULE 3: PERIPHERAL VASCULAR &amp; ACUTE ISCHEMIC LIMB
30-Question Interactive Master Clinical Examination</t>
        </is>
      </c>
    </row>
    <row r="2"/>
    <row r="4">
      <c r="A4" s="2" t="inlineStr">
        <is>
          <t>Version Stamp:</t>
        </is>
      </c>
      <c r="B4" s="3" t="inlineStr">
        <is>
          <t>v1.0 | 30-Question Interactive Master Quiz</t>
        </is>
      </c>
    </row>
    <row r="6">
      <c r="A6" s="4" t="inlineStr">
        <is>
          <t>WORKBOOK NAVIGATION</t>
        </is>
      </c>
    </row>
    <row r="7">
      <c r="A7" s="5" t="inlineStr">
        <is>
          <t>Sheet Name</t>
        </is>
      </c>
      <c r="B7" s="5" t="inlineStr">
        <is>
          <t>Description</t>
        </is>
      </c>
      <c r="C7" s="5" t="inlineStr">
        <is>
          <t>Link</t>
        </is>
      </c>
    </row>
    <row r="8">
      <c r="A8" s="6" t="inlineStr">
        <is>
          <t>Interactive Quiz</t>
        </is>
      </c>
      <c r="B8" s="6" t="inlineStr">
        <is>
          <t>Student Examination Portal (30 MCQs, Real-time Scorecard)</t>
        </is>
      </c>
      <c r="C8" s="7">
        <f>HYPERLINK("# 'Interactive Quiz'!A1", "Go to Quiz →")</f>
        <v/>
      </c>
    </row>
    <row r="9">
      <c r="A9" s="6" t="inlineStr">
        <is>
          <t>Answer Key &amp; Explanations</t>
        </is>
      </c>
      <c r="B9" s="6" t="inlineStr">
        <is>
          <t>Instructor Portal (Correct Answers &amp; Detailed Rationales)</t>
        </is>
      </c>
      <c r="C9" s="7">
        <f>HYPERLINK("# 'Answer Key &amp; Explanations'!A1", "Go to Answer Key →")</f>
        <v/>
      </c>
    </row>
    <row r="12">
      <c r="A12" s="4" t="inlineStr">
        <is>
          <t>FORMATTING &amp; COLOR LEGEND</t>
        </is>
      </c>
    </row>
    <row r="13">
      <c r="A13" s="8" t="inlineStr">
        <is>
          <t>Light Blue Fill (#DCE6F1)</t>
        </is>
      </c>
      <c r="B13" s="9" t="inlineStr">
        <is>
          <t>Student Answer Input Cell (Column H - Dropdown A-E)</t>
        </is>
      </c>
    </row>
    <row r="14">
      <c r="A14" s="10" t="inlineStr">
        <is>
          <t>Light Green Fill (#E2EFDA)</t>
        </is>
      </c>
      <c r="B14" s="9" t="inlineStr">
        <is>
          <t>Computed Scorecard &amp; Live Formulas</t>
        </is>
      </c>
    </row>
    <row r="15">
      <c r="A15" s="11" t="inlineStr">
        <is>
          <t>Dark Blue Banner (#2F5496)</t>
        </is>
      </c>
      <c r="B15" s="9" t="inlineStr">
        <is>
          <t>Section Banners &amp; Header Formatting</t>
        </is>
      </c>
    </row>
    <row r="16">
      <c r="A16" s="12" t="inlineStr">
        <is>
          <t>Zebra Gray (#F2F2F2)</t>
        </is>
      </c>
      <c r="B16" s="9" t="inlineStr">
        <is>
          <t>Alternating Table Row Shading</t>
        </is>
      </c>
    </row>
  </sheetData>
  <mergeCells count="3">
    <mergeCell ref="A6:E6"/>
    <mergeCell ref="A12:E12"/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22" customWidth="1" min="9" max="9"/>
  </cols>
  <sheetData>
    <row r="1">
      <c r="A1" s="1" t="inlineStr">
        <is>
          <t>MODULE 3: PERIPHERAL VASCULAR &amp; ACUTE ISCHEMIC LIMB - STUDENT EXAMINATION PORTAL</t>
        </is>
      </c>
    </row>
    <row r="2"/>
    <row r="3">
      <c r="A3" s="13" t="inlineStr">
        <is>
          <t>AUTOMATED SCORECARD</t>
        </is>
      </c>
    </row>
    <row r="4">
      <c r="A4" s="14" t="inlineStr">
        <is>
          <t>Questions Attempted:</t>
        </is>
      </c>
      <c r="B4" s="15">
        <f>COUNTA(H9:H38)</f>
        <v/>
      </c>
    </row>
    <row r="5">
      <c r="A5" s="14" t="inlineStr">
        <is>
          <t>Correct Answers:</t>
        </is>
      </c>
      <c r="B5" s="15">
        <f>COUNTIF(I9:I38, "*Correct*")</f>
        <v/>
      </c>
    </row>
    <row r="6">
      <c r="A6" s="14" t="inlineStr">
        <is>
          <t>Overall Score Grade %:</t>
        </is>
      </c>
      <c r="B6" s="16">
        <f>IF(B4=0, 0, B5/30)</f>
        <v/>
      </c>
    </row>
    <row r="8">
      <c r="A8" s="17" t="inlineStr">
        <is>
          <t>Q#</t>
        </is>
      </c>
      <c r="B8" s="17" t="inlineStr">
        <is>
          <t>Clinical Scenario / Question Stem</t>
        </is>
      </c>
      <c r="C8" s="17" t="inlineStr">
        <is>
          <t>Option A</t>
        </is>
      </c>
      <c r="D8" s="17" t="inlineStr">
        <is>
          <t>Option B</t>
        </is>
      </c>
      <c r="E8" s="17" t="inlineStr">
        <is>
          <t>Option C</t>
        </is>
      </c>
      <c r="F8" s="17" t="inlineStr">
        <is>
          <t>Option D</t>
        </is>
      </c>
      <c r="G8" s="17" t="inlineStr">
        <is>
          <t>Option E</t>
        </is>
      </c>
      <c r="H8" s="17" t="inlineStr">
        <is>
          <t>Your Answer</t>
        </is>
      </c>
      <c r="I8" s="17" t="inlineStr">
        <is>
          <t>Real-Time Grade</t>
        </is>
      </c>
    </row>
    <row r="9">
      <c r="A9" s="18" t="inlineStr">
        <is>
          <t>Q1</t>
        </is>
      </c>
      <c r="B9" s="19" t="inlineStr">
        <is>
          <t>A 38-year-old female with mitral stenosis and atrial fibrillation presents with sudden excruciating right leg pain for 4 hours. The leg is pale, cold, and pulseless below the popliteal artery. What is the provisional diagnosis?</t>
        </is>
      </c>
      <c r="C9" s="19" t="inlineStr">
        <is>
          <t>Deep vein thrombosis</t>
        </is>
      </c>
      <c r="D9" s="19" t="inlineStr">
        <is>
          <t>Acute arterial embolic occlusion</t>
        </is>
      </c>
      <c r="E9" s="19" t="inlineStr">
        <is>
          <t>Acute osteomyelitis</t>
        </is>
      </c>
      <c r="F9" s="19" t="inlineStr">
        <is>
          <t>Sciatica</t>
        </is>
      </c>
      <c r="G9" s="19" t="inlineStr">
        <is>
          <t>Buerger's disease</t>
        </is>
      </c>
      <c r="H9" s="20" t="inlineStr"/>
      <c r="I9" s="21">
        <f>IF(ISBLANK(H9), "", IF(H9='Answer Key &amp; Explanations'!C9, "✅ Correct", "❌ Incorrect (See Key)"))</f>
        <v/>
      </c>
    </row>
    <row r="10">
      <c r="A10" s="22" t="inlineStr">
        <is>
          <t>Q2</t>
        </is>
      </c>
      <c r="B10" s="23" t="inlineStr">
        <is>
          <t>Which of the following represents the classic '6 Ps' of acute limb ischemia?</t>
        </is>
      </c>
      <c r="C10" s="23" t="inlineStr">
        <is>
          <t>Pain, Pallor, Pulselessness, Paresthesia, Paralysis, Poikilothermia</t>
        </is>
      </c>
      <c r="D10" s="23" t="inlineStr">
        <is>
          <t>Pain, Pyrexia, Purpura, Pruritus, Paralysis, Pallor</t>
        </is>
      </c>
      <c r="E10" s="23" t="inlineStr">
        <is>
          <t>Pain, Pulsation, Peritonitis, Pallor, Paralysis, Pores</t>
        </is>
      </c>
      <c r="F10" s="23" t="inlineStr">
        <is>
          <t>Pyrexia, Pallor, Pressure, Paresthesia, Phlegmasia, Pain</t>
        </is>
      </c>
      <c r="G10" s="23" t="inlineStr">
        <is>
          <t>Petechiae, Pallor, Pulselessness, Pain, Paresthesia, Pitting</t>
        </is>
      </c>
      <c r="H10" s="20" t="inlineStr"/>
      <c r="I10" s="21">
        <f>IF(ISBLANK(H10), "", IF(H10='Answer Key &amp; Explanations'!C10, "✅ Correct", "❌ Incorrect (See Key)"))</f>
        <v/>
      </c>
    </row>
    <row r="11">
      <c r="A11" s="18" t="inlineStr">
        <is>
          <t>Q3</t>
        </is>
      </c>
      <c r="B11" s="19" t="inlineStr">
        <is>
          <t>Which anatomical location is the most common site for cardiac embolic impaction in the lower extremity?</t>
        </is>
      </c>
      <c r="C11" s="19" t="inlineStr">
        <is>
          <t>Abdominal aortic bifurcation</t>
        </is>
      </c>
      <c r="D11" s="19" t="inlineStr">
        <is>
          <t>Femoral artery bifurcation</t>
        </is>
      </c>
      <c r="E11" s="19" t="inlineStr">
        <is>
          <t>Popliteal artery trifurcation</t>
        </is>
      </c>
      <c r="F11" s="19" t="inlineStr">
        <is>
          <t>Anterior tibial artery</t>
        </is>
      </c>
      <c r="G11" s="19" t="inlineStr">
        <is>
          <t>External iliac artery</t>
        </is>
      </c>
      <c r="H11" s="20" t="inlineStr"/>
      <c r="I11" s="21">
        <f>IF(ISBLANK(H11), "", IF(H11='Answer Key &amp; Explanations'!C11, "✅ Correct", "❌ Incorrect (See Key)"))</f>
        <v/>
      </c>
    </row>
    <row r="12">
      <c r="A12" s="22" t="inlineStr">
        <is>
          <t>Q4</t>
        </is>
      </c>
      <c r="B12" s="23" t="inlineStr">
        <is>
          <t>How does acute arterial Embolism clinically differ from acute-on-chronic Arterial Thrombosis?</t>
        </is>
      </c>
      <c r="C12" s="23" t="inlineStr">
        <is>
          <t>Embolism has a gradual onset over weeks</t>
        </is>
      </c>
      <c r="D12" s="23" t="inlineStr">
        <is>
          <t>Embolism features pre-existing claudication in both legs</t>
        </is>
      </c>
      <c r="E12" s="23" t="inlineStr">
        <is>
          <t>Embolism has a sudden dramatic onset with normal contralateral limb pulses</t>
        </is>
      </c>
      <c r="F12" s="23" t="inlineStr">
        <is>
          <t>Thrombosis is caused by cardiac atrial fibrillation</t>
        </is>
      </c>
      <c r="G12" s="23" t="inlineStr">
        <is>
          <t>Thrombosis presents with sharp cup-like occlusion on angiography</t>
        </is>
      </c>
      <c r="H12" s="20" t="inlineStr"/>
      <c r="I12" s="21">
        <f>IF(ISBLANK(H12), "", IF(H12='Answer Key &amp; Explanations'!C12, "✅ Correct", "❌ Incorrect (See Key)"))</f>
        <v/>
      </c>
    </row>
    <row r="13">
      <c r="A13" s="18" t="inlineStr">
        <is>
          <t>Q5</t>
        </is>
      </c>
      <c r="B13" s="19" t="inlineStr">
        <is>
          <t>What is the immediate initial pharmacological management for a patient diagnosed with acute embolic limb ischemia?</t>
        </is>
      </c>
      <c r="C13" s="19" t="inlineStr">
        <is>
          <t>High-dose oral Aspirin</t>
        </is>
      </c>
      <c r="D13" s="19" t="inlineStr">
        <is>
          <t>Immediate IV Unfractionated Heparin bolus (5,000 IU)</t>
        </is>
      </c>
      <c r="E13" s="19" t="inlineStr">
        <is>
          <t>Oral Warfarin 10 mg</t>
        </is>
      </c>
      <c r="F13" s="19" t="inlineStr">
        <is>
          <t>IV Furosemide</t>
        </is>
      </c>
      <c r="G13" s="19" t="inlineStr">
        <is>
          <t>Subcutaneous Enoxaparin 20 mg</t>
        </is>
      </c>
      <c r="H13" s="20" t="inlineStr"/>
      <c r="I13" s="21">
        <f>IF(ISBLANK(H13), "", IF(H13='Answer Key &amp; Explanations'!C13, "✅ Correct", "❌ Incorrect (See Key)"))</f>
        <v/>
      </c>
    </row>
    <row r="14">
      <c r="A14" s="22" t="inlineStr">
        <is>
          <t>Q6</t>
        </is>
      </c>
      <c r="B14" s="23" t="inlineStr">
        <is>
          <t>What is the emergency surgical procedure of choice for acute embolic occlusion of the femoral artery?</t>
        </is>
      </c>
      <c r="C14" s="23" t="inlineStr">
        <is>
          <t>Aortobifemoral bypass</t>
        </is>
      </c>
      <c r="D14" s="23" t="inlineStr">
        <is>
          <t>Emergency Fogarty catheter embolectomy</t>
        </is>
      </c>
      <c r="E14" s="23" t="inlineStr">
        <is>
          <t>Primary above-knee amputation</t>
        </is>
      </c>
      <c r="F14" s="23" t="inlineStr">
        <is>
          <t>Endovenous laser ablation</t>
        </is>
      </c>
      <c r="G14" s="23" t="inlineStr">
        <is>
          <t>Lumbar sympathectomy</t>
        </is>
      </c>
      <c r="H14" s="20" t="inlineStr"/>
      <c r="I14" s="21">
        <f>IF(ISBLANK(H14), "", IF(H14='Answer Key &amp; Explanations'!C14, "✅ Correct", "❌ Incorrect (See Key)"))</f>
        <v/>
      </c>
    </row>
    <row r="15">
      <c r="A15" s="18" t="inlineStr">
        <is>
          <t>Q7</t>
        </is>
      </c>
      <c r="B15" s="19" t="inlineStr">
        <is>
          <t>An Ankle-Brachial Pressure Index (ABPI) value of 0.35 in a patient with calf rest pain indicates which severity of arterial disease?</t>
        </is>
      </c>
      <c r="C15" s="19" t="inlineStr">
        <is>
          <t>Normal arterial perfusion</t>
        </is>
      </c>
      <c r="D15" s="19" t="inlineStr">
        <is>
          <t>Mild intermittent claudication</t>
        </is>
      </c>
      <c r="E15" s="19" t="inlineStr">
        <is>
          <t>Critical / Severe limb-threatening ischemia</t>
        </is>
      </c>
      <c r="F15" s="19" t="inlineStr">
        <is>
          <t>Non-compressible calcified vessels</t>
        </is>
      </c>
      <c r="G15" s="19" t="inlineStr">
        <is>
          <t>Venous hypertension</t>
        </is>
      </c>
      <c r="H15" s="20" t="inlineStr"/>
      <c r="I15" s="21">
        <f>IF(ISBLANK(H15), "", IF(H15='Answer Key &amp; Explanations'!C15, "✅ Correct", "❌ Incorrect (See Key)"))</f>
        <v/>
      </c>
    </row>
    <row r="16">
      <c r="A16" s="22" t="inlineStr">
        <is>
          <t>Q8</t>
        </is>
      </c>
      <c r="B16" s="23" t="inlineStr">
        <is>
          <t>Which of the following ABPI values strongly suggests Mönckeberg's medial calcific sclerosis in a diabetic patient?</t>
        </is>
      </c>
      <c r="C16" s="23" t="inlineStr">
        <is>
          <t>0.20</t>
        </is>
      </c>
      <c r="D16" s="23" t="inlineStr">
        <is>
          <t>0.45</t>
        </is>
      </c>
      <c r="E16" s="23" t="inlineStr">
        <is>
          <t>0.85</t>
        </is>
      </c>
      <c r="F16" s="23" t="inlineStr">
        <is>
          <t>1.10</t>
        </is>
      </c>
      <c r="G16" s="23" t="inlineStr">
        <is>
          <t>1.50</t>
        </is>
      </c>
      <c r="H16" s="20" t="inlineStr"/>
      <c r="I16" s="21">
        <f>IF(ISBLANK(H16), "", IF(H16='Answer Key &amp; Explanations'!C16, "✅ Correct", "❌ Incorrect (See Key)"))</f>
        <v/>
      </c>
    </row>
    <row r="17">
      <c r="A17" s="18" t="inlineStr">
        <is>
          <t>Q9</t>
        </is>
      </c>
      <c r="B17" s="19" t="inlineStr">
        <is>
          <t>What symptom is characteristic of Critical Limb-Threatening Ischemia (CLTI)?</t>
        </is>
      </c>
      <c r="C17" s="19" t="inlineStr">
        <is>
          <t>Calf pain relieved by walking</t>
        </is>
      </c>
      <c r="D17" s="19" t="inlineStr">
        <is>
          <t>Ischemic rest pain in the foot aggravated by elevation and relieved by dangling the leg</t>
        </is>
      </c>
      <c r="E17" s="19" t="inlineStr">
        <is>
          <t>Painless ankle edema</t>
        </is>
      </c>
      <c r="F17" s="19" t="inlineStr">
        <is>
          <t>Itching over the tibia</t>
        </is>
      </c>
      <c r="G17" s="19" t="inlineStr">
        <is>
          <t>Pulsatile thigh mass</t>
        </is>
      </c>
      <c r="H17" s="20" t="inlineStr"/>
      <c r="I17" s="21">
        <f>IF(ISBLANK(H17), "", IF(H17='Answer Key &amp; Explanations'!C17, "✅ Correct", "❌ Incorrect (See Key)"))</f>
        <v/>
      </c>
    </row>
    <row r="18">
      <c r="A18" s="22" t="inlineStr">
        <is>
          <t>Q10</t>
        </is>
      </c>
      <c r="B18" s="23" t="inlineStr">
        <is>
          <t>Spinal (neurogenic) claudication can be distinguished from vascular claudication because spinal claudication is:</t>
        </is>
      </c>
      <c r="C18" s="23" t="inlineStr">
        <is>
          <t>Aggravated by sitting down</t>
        </is>
      </c>
      <c r="D18" s="23" t="inlineStr">
        <is>
          <t>Relieved when walking uphill or bending forward (spine flexion)</t>
        </is>
      </c>
      <c r="E18" s="23" t="inlineStr">
        <is>
          <t>Relieved within 1 minute of standing completely still</t>
        </is>
      </c>
      <c r="F18" s="23" t="inlineStr">
        <is>
          <t>Accompanied by absent femoral pulses</t>
        </is>
      </c>
      <c r="G18" s="23" t="inlineStr">
        <is>
          <t>Present only at rest</t>
        </is>
      </c>
      <c r="H18" s="20" t="inlineStr"/>
      <c r="I18" s="21">
        <f>IF(ISBLANK(H18), "", IF(H18='Answer Key &amp; Explanations'!C18, "✅ Correct", "❌ Incorrect (See Key)"))</f>
        <v/>
      </c>
    </row>
    <row r="19">
      <c r="A19" s="18" t="inlineStr">
        <is>
          <t>Q11</t>
        </is>
      </c>
      <c r="B19" s="19" t="inlineStr">
        <is>
          <t>In contrast to neurogenic claudication, vascular claudication is characteristically relieved by:</t>
        </is>
      </c>
      <c r="C19" s="19" t="inlineStr">
        <is>
          <t>Sitting in a flexed posture for 30 minutes</t>
        </is>
      </c>
      <c r="D19" s="19" t="inlineStr">
        <is>
          <t>Standing completely still for 1 to 2 minutes</t>
        </is>
      </c>
      <c r="E19" s="19" t="inlineStr">
        <is>
          <t>Lying flat on the back</t>
        </is>
      </c>
      <c r="F19" s="19" t="inlineStr">
        <is>
          <t>Vigorous calf exercise</t>
        </is>
      </c>
      <c r="G19" s="19" t="inlineStr">
        <is>
          <t>Elevating both legs</t>
        </is>
      </c>
      <c r="H19" s="20" t="inlineStr"/>
      <c r="I19" s="21">
        <f>IF(ISBLANK(H19), "", IF(H19='Answer Key &amp; Explanations'!C19, "✅ Correct", "❌ Incorrect (See Key)"))</f>
        <v/>
      </c>
    </row>
    <row r="20">
      <c r="A20" s="22" t="inlineStr">
        <is>
          <t>Q12</t>
        </is>
      </c>
      <c r="B20" s="23" t="inlineStr">
        <is>
          <t>A patient undergoes successful embolectomy 10 hours after popliteal artery occlusion. 3 hours later, he develops severe calf pain on passive toe flexion, swelling, and firm calf compartments. What complication is present?</t>
        </is>
      </c>
      <c r="C20" s="23" t="inlineStr">
        <is>
          <t>Recurrent embolism</t>
        </is>
      </c>
      <c r="D20" s="23" t="inlineStr">
        <is>
          <t>Acute compartment syndrome secondary to reperfusion injury</t>
        </is>
      </c>
      <c r="E20" s="23" t="inlineStr">
        <is>
          <t>Deep vein thrombosis</t>
        </is>
      </c>
      <c r="F20" s="23" t="inlineStr">
        <is>
          <t>Wound infection</t>
        </is>
      </c>
      <c r="G20" s="23" t="inlineStr">
        <is>
          <t>Arterial pseudoaneurysm</t>
        </is>
      </c>
      <c r="H20" s="20" t="inlineStr"/>
      <c r="I20" s="21">
        <f>IF(ISBLANK(H20), "", IF(H20='Answer Key &amp; Explanations'!C20, "✅ Correct", "❌ Incorrect (See Key)"))</f>
        <v/>
      </c>
    </row>
    <row r="21">
      <c r="A21" s="18" t="inlineStr">
        <is>
          <t>Q13</t>
        </is>
      </c>
      <c r="B21" s="19" t="inlineStr">
        <is>
          <t>What is the single most sensitive clinical test for diagnosing acute compartment syndrome of the leg?</t>
        </is>
      </c>
      <c r="C21" s="19" t="inlineStr">
        <is>
          <t>Absence of distal pulses</t>
        </is>
      </c>
      <c r="D21" s="19" t="inlineStr">
        <is>
          <t>Exquisite pain elicited by passive stretching of the compartmental muscles</t>
        </is>
      </c>
      <c r="E21" s="19" t="inlineStr">
        <is>
          <t>Presence of skin blisters</t>
        </is>
      </c>
      <c r="F21" s="19" t="inlineStr">
        <is>
          <t>Pitting ankle edema</t>
        </is>
      </c>
      <c r="G21" s="19" t="inlineStr">
        <is>
          <t>Temperature drop of the foot</t>
        </is>
      </c>
      <c r="H21" s="20" t="inlineStr"/>
      <c r="I21" s="21">
        <f>IF(ISBLANK(H21), "", IF(H21='Answer Key &amp; Explanations'!C21, "✅ Correct", "❌ Incorrect (See Key)"))</f>
        <v/>
      </c>
    </row>
    <row r="22">
      <c r="A22" s="22" t="inlineStr">
        <is>
          <t>Q14</t>
        </is>
      </c>
      <c r="B22" s="23" t="inlineStr">
        <is>
          <t>What is the definitive emergency surgical management for acute lower leg compartment syndrome?</t>
        </is>
      </c>
      <c r="C22" s="23" t="inlineStr">
        <is>
          <t>Elevation of the leg and ice packs</t>
        </is>
      </c>
      <c r="D22" s="23" t="inlineStr">
        <is>
          <t>Emergency four-compartment leg fasciotomy</t>
        </is>
      </c>
      <c r="E22" s="23" t="inlineStr">
        <is>
          <t>High-dose IV steroids</t>
        </is>
      </c>
      <c r="F22" s="23" t="inlineStr">
        <is>
          <t>Repeat embolectomy</t>
        </is>
      </c>
      <c r="G22" s="23" t="inlineStr">
        <is>
          <t>Plaster cast immobilization</t>
        </is>
      </c>
      <c r="H22" s="20" t="inlineStr"/>
      <c r="I22" s="21">
        <f>IF(ISBLANK(H22), "", IF(H22='Answer Key &amp; Explanations'!C22, "✅ Correct", "❌ Incorrect (See Key)"))</f>
        <v/>
      </c>
    </row>
    <row r="23">
      <c r="A23" s="18" t="inlineStr">
        <is>
          <t>Q15</t>
        </is>
      </c>
      <c r="B23" s="19" t="inlineStr">
        <is>
          <t>Which condition is classified as a 'Deadly' indication for major limb amputation ('Dead, Deadly, Dead Nuisance')?</t>
        </is>
      </c>
      <c r="C23" s="19" t="inlineStr">
        <is>
          <t>Dry gangrene limited to the tip of the toe</t>
        </is>
      </c>
      <c r="D23" s="19" t="inlineStr">
        <is>
          <t>Spreading wet gangrene with gas/sepsis and toxemia</t>
        </is>
      </c>
      <c r="E23" s="19" t="inlineStr">
        <is>
          <t>Mild intermittent claudication at 200 meters</t>
        </is>
      </c>
      <c r="F23" s="19" t="inlineStr">
        <is>
          <t>Stable neuropathic ulcer under the heel</t>
        </is>
      </c>
      <c r="G23" s="19" t="inlineStr">
        <is>
          <t>Rest pain controlled by paracetamol</t>
        </is>
      </c>
      <c r="H23" s="20" t="inlineStr"/>
      <c r="I23" s="21">
        <f>IF(ISBLANK(H23), "", IF(H23='Answer Key &amp; Explanations'!C23, "✅ Correct", "❌ Incorrect (See Key)"))</f>
        <v/>
      </c>
    </row>
    <row r="24">
      <c r="A24" s="22" t="inlineStr">
        <is>
          <t>Q16</t>
        </is>
      </c>
      <c r="B24" s="23" t="inlineStr">
        <is>
          <t>Why is a Below-Knee Amputation (BKA) functionally superior to an Above-Knee Amputation (AKA)?</t>
        </is>
      </c>
      <c r="C24" s="23" t="inlineStr">
        <is>
          <t>BKA requires less surgical time</t>
        </is>
      </c>
      <c r="D24" s="23" t="inlineStr">
        <is>
          <t>BKA preserves the knee joint, dramatically lowering energy expenditure for prosthetic walking</t>
        </is>
      </c>
      <c r="E24" s="23" t="inlineStr">
        <is>
          <t>BKA never suffers from wound breakdown</t>
        </is>
      </c>
      <c r="F24" s="23" t="inlineStr">
        <is>
          <t>AKA patients cannot wear a prosthesis</t>
        </is>
      </c>
      <c r="G24" s="23" t="inlineStr">
        <is>
          <t>BKA eliminates phantom limb pain</t>
        </is>
      </c>
      <c r="H24" s="20" t="inlineStr"/>
      <c r="I24" s="21">
        <f>IF(ISBLANK(H24), "", IF(H24='Answer Key &amp; Explanations'!C24, "✅ Correct", "❌ Incorrect (See Key)"))</f>
        <v/>
      </c>
    </row>
    <row r="25">
      <c r="A25" s="18" t="inlineStr">
        <is>
          <t>Q17</t>
        </is>
      </c>
      <c r="B25" s="19" t="inlineStr">
        <is>
          <t>According to the CEAP classification for chronic venous disease, what does stage C6 represent?</t>
        </is>
      </c>
      <c r="C25" s="19" t="inlineStr">
        <is>
          <t>Varicose veins without symptoms</t>
        </is>
      </c>
      <c r="D25" s="19" t="inlineStr">
        <is>
          <t>Lipodermatosclerosis</t>
        </is>
      </c>
      <c r="E25" s="19" t="inlineStr">
        <is>
          <t>Healed venous ulcer</t>
        </is>
      </c>
      <c r="F25" s="19" t="inlineStr">
        <is>
          <t>Active open venous ulcer</t>
        </is>
      </c>
      <c r="G25" s="19" t="inlineStr">
        <is>
          <t>Reticular veins</t>
        </is>
      </c>
      <c r="H25" s="20" t="inlineStr"/>
      <c r="I25" s="21">
        <f>IF(ISBLANK(H25), "", IF(H25='Answer Key &amp; Explanations'!C25, "✅ Correct", "❌ Incorrect (See Key)"))</f>
        <v/>
      </c>
    </row>
    <row r="26">
      <c r="A26" s="22" t="inlineStr">
        <is>
          <t>Q18</t>
        </is>
      </c>
      <c r="B26" s="23" t="inlineStr">
        <is>
          <t>Where do classic venous stasis ulcers characteristically occur on the lower extremity?</t>
        </is>
      </c>
      <c r="C26" s="23" t="inlineStr">
        <is>
          <t>Tips of the toes and heel</t>
        </is>
      </c>
      <c r="D26" s="23" t="inlineStr">
        <is>
          <t>Gaiter area of the lower leg, particularly above the medial malleolus</t>
        </is>
      </c>
      <c r="E26" s="23" t="inlineStr">
        <is>
          <t>Dorsum of the foot over tendons</t>
        </is>
      </c>
      <c r="F26" s="23" t="inlineStr">
        <is>
          <t>Pre-patellar region</t>
        </is>
      </c>
      <c r="G26" s="23" t="inlineStr">
        <is>
          <t>Ischial tuberosity</t>
        </is>
      </c>
      <c r="H26" s="20" t="inlineStr"/>
      <c r="I26" s="21">
        <f>IF(ISBLANK(H26), "", IF(H26='Answer Key &amp; Explanations'!C26, "✅ Correct", "❌ Incorrect (See Key)"))</f>
        <v/>
      </c>
    </row>
    <row r="27">
      <c r="A27" s="18" t="inlineStr">
        <is>
          <t>Q19</t>
        </is>
      </c>
      <c r="B27" s="19" t="inlineStr">
        <is>
          <t>What physical feature distinguishes a classic venous ulcer from an ischemic arterial ulcer?</t>
        </is>
      </c>
      <c r="C27" s="19" t="inlineStr">
        <is>
          <t>Venous ulcers are deep, punched-out, extremely painful with pale base</t>
        </is>
      </c>
      <c r="D27" s="19" t="inlineStr">
        <is>
          <t>Venous ulcers are shallow, irregular, surrounded by hyperpigmentation/eczema, with sloughy base</t>
        </is>
      </c>
      <c r="E27" s="19" t="inlineStr">
        <is>
          <t>Venous ulcers occur over bony pressure points on the heel</t>
        </is>
      </c>
      <c r="F27" s="19" t="inlineStr">
        <is>
          <t>Venous ulcers cause absent foot pulses</t>
        </is>
      </c>
      <c r="G27" s="19" t="inlineStr">
        <is>
          <t>Venous ulcers never bleed</t>
        </is>
      </c>
      <c r="H27" s="20" t="inlineStr"/>
      <c r="I27" s="21">
        <f>IF(ISBLANK(H27), "", IF(H27='Answer Key &amp; Explanations'!C27, "✅ Correct", "❌ Incorrect (See Key)"))</f>
        <v/>
      </c>
    </row>
    <row r="28">
      <c r="A28" s="22" t="inlineStr">
        <is>
          <t>Q20</t>
        </is>
      </c>
      <c r="B28" s="23" t="inlineStr">
        <is>
          <t>In the Brodie-Trendelenburg test for varicose veins, rapid filling of veins from above upon release of the thigh tourniquet confirms:</t>
        </is>
      </c>
      <c r="C28" s="23" t="inlineStr">
        <is>
          <t>Deep vein thrombosis</t>
        </is>
      </c>
      <c r="D28" s="23" t="inlineStr">
        <is>
          <t>Saphenofemoral Junction (SFJ) incompetence</t>
        </is>
      </c>
      <c r="E28" s="23" t="inlineStr">
        <is>
          <t>Arterial insufficiency</t>
        </is>
      </c>
      <c r="F28" s="23" t="inlineStr">
        <is>
          <t>Popliteal artery aneurysm</t>
        </is>
      </c>
      <c r="G28" s="23" t="inlineStr">
        <is>
          <t>Normal venous valves</t>
        </is>
      </c>
      <c r="H28" s="20" t="inlineStr"/>
      <c r="I28" s="21">
        <f>IF(ISBLANK(H28), "", IF(H28='Answer Key &amp; Explanations'!C28, "✅ Correct", "❌ Incorrect (See Key)"))</f>
        <v/>
      </c>
    </row>
    <row r="29">
      <c r="A29" s="18" t="inlineStr">
        <is>
          <t>Q21</t>
        </is>
      </c>
      <c r="B29" s="19" t="inlineStr">
        <is>
          <t>What is the non-invasive gold standard diagnostic investigation for evaluating varicose veins and venous reflux?</t>
        </is>
      </c>
      <c r="C29" s="19" t="inlineStr">
        <is>
          <t>Ascending venography</t>
        </is>
      </c>
      <c r="D29" s="19" t="inlineStr">
        <is>
          <t>Venous Duplex Ultrasound</t>
        </is>
      </c>
      <c r="E29" s="19" t="inlineStr">
        <is>
          <t>CT Angiography</t>
        </is>
      </c>
      <c r="F29" s="19" t="inlineStr">
        <is>
          <t>Handheld Doppler alone</t>
        </is>
      </c>
      <c r="G29" s="19" t="inlineStr">
        <is>
          <t>MR Venography</t>
        </is>
      </c>
      <c r="H29" s="20" t="inlineStr"/>
      <c r="I29" s="21">
        <f>IF(ISBLANK(H29), "", IF(H29='Answer Key &amp; Explanations'!C29, "✅ Correct", "❌ Incorrect (See Key)"))</f>
        <v/>
      </c>
    </row>
    <row r="30">
      <c r="A30" s="22" t="inlineStr">
        <is>
          <t>Q22</t>
        </is>
      </c>
      <c r="B30" s="23" t="inlineStr">
        <is>
          <t>What is considered the first-line modern endovenous treatment for symptomatic Great Saphenous Vein incompetence?</t>
        </is>
      </c>
      <c r="C30" s="23" t="inlineStr">
        <is>
          <t>Open surgical stripping and ligation</t>
        </is>
      </c>
      <c r="D30" s="23" t="inlineStr">
        <is>
          <t>Endovenous Thermal Ablation (EVLA or Radiofrequency Ablation)</t>
        </is>
      </c>
      <c r="E30" s="23" t="inlineStr">
        <is>
          <t>Lifetime bed rest</t>
        </is>
      </c>
      <c r="F30" s="23" t="inlineStr">
        <is>
          <t>High-dose oral antibiotics</t>
        </is>
      </c>
      <c r="G30" s="23" t="inlineStr">
        <is>
          <t>Systemic thrombolysis</t>
        </is>
      </c>
      <c r="H30" s="20" t="inlineStr"/>
      <c r="I30" s="21">
        <f>IF(ISBLANK(H30), "", IF(H30='Answer Key &amp; Explanations'!C30, "✅ Correct", "❌ Incorrect (See Key)"))</f>
        <v/>
      </c>
    </row>
    <row r="31">
      <c r="A31" s="18" t="inlineStr">
        <is>
          <t>Q23</t>
        </is>
      </c>
      <c r="B31" s="19" t="inlineStr">
        <is>
          <t>Which of the following constitutes Virchow's Triad for the development of Deep Vein Thrombosis (DVT)?</t>
        </is>
      </c>
      <c r="C31" s="19" t="inlineStr">
        <is>
          <t>Hypertension, Hyperglycemia, Hyperkalemia</t>
        </is>
      </c>
      <c r="D31" s="19" t="inlineStr">
        <is>
          <t>Venous stasis, Endothelial injury, Hypercoagulability</t>
        </is>
      </c>
      <c r="E31" s="19" t="inlineStr">
        <is>
          <t>Fever, Tachycardia, Leucocytosis</t>
        </is>
      </c>
      <c r="F31" s="19" t="inlineStr">
        <is>
          <t>Pain, Pallor, Pulselessness</t>
        </is>
      </c>
      <c r="G31" s="19" t="inlineStr">
        <is>
          <t>Vasodilation, Hypotension, Bradycardia</t>
        </is>
      </c>
      <c r="H31" s="20" t="inlineStr"/>
      <c r="I31" s="21">
        <f>IF(ISBLANK(H31), "", IF(H31='Answer Key &amp; Explanations'!C31, "✅ Correct", "❌ Incorrect (See Key)"))</f>
        <v/>
      </c>
    </row>
    <row r="32">
      <c r="A32" s="22" t="inlineStr">
        <is>
          <t>Q24</t>
        </is>
      </c>
      <c r="B32" s="23" t="inlineStr">
        <is>
          <t>What is the most serious life-threatening acute complication of Deep Vein Thrombosis (DVT)?</t>
        </is>
      </c>
      <c r="C32" s="23" t="inlineStr">
        <is>
          <t>Post-thrombotic syndrome</t>
        </is>
      </c>
      <c r="D32" s="23" t="inlineStr">
        <is>
          <t>Pulmonary Embolism (PE)</t>
        </is>
      </c>
      <c r="E32" s="23" t="inlineStr">
        <is>
          <t>Venous ulceration</t>
        </is>
      </c>
      <c r="F32" s="23" t="inlineStr">
        <is>
          <t>Cellulitis</t>
        </is>
      </c>
      <c r="G32" s="23" t="inlineStr">
        <is>
          <t>Compartment syndrome</t>
        </is>
      </c>
      <c r="H32" s="20" t="inlineStr"/>
      <c r="I32" s="21">
        <f>IF(ISBLANK(H32), "", IF(H32='Answer Key &amp; Explanations'!C32, "✅ Correct", "❌ Incorrect (See Key)"))</f>
        <v/>
      </c>
    </row>
    <row r="33">
      <c r="A33" s="18" t="inlineStr">
        <is>
          <t>Q25</t>
        </is>
      </c>
      <c r="B33" s="19" t="inlineStr">
        <is>
          <t>Phlegmasia cerulea dolens is a rare, severe form of massive iliofemoral DVT characterized by:</t>
        </is>
      </c>
      <c r="C33" s="19" t="inlineStr">
        <is>
          <t>Mild ankle swelling without discoloration</t>
        </is>
      </c>
      <c r="D33" s="19" t="inlineStr">
        <is>
          <t>Massive total venous occlusion causing painful, cyanotic, ischemic limb swelling</t>
        </is>
      </c>
      <c r="E33" s="19" t="inlineStr">
        <is>
          <t>Pale dry foot with absent pulses</t>
        </is>
      </c>
      <c r="F33" s="19" t="inlineStr">
        <is>
          <t>Bilateral calf muscle wasting</t>
        </is>
      </c>
      <c r="G33" s="19" t="inlineStr">
        <is>
          <t>Spontaneous venous rupture</t>
        </is>
      </c>
      <c r="H33" s="20" t="inlineStr"/>
      <c r="I33" s="21">
        <f>IF(ISBLANK(H33), "", IF(H33='Answer Key &amp; Explanations'!C33, "✅ Correct", "❌ Incorrect (See Key)"))</f>
        <v/>
      </c>
    </row>
    <row r="34">
      <c r="A34" s="22" t="inlineStr">
        <is>
          <t>Q26</t>
        </is>
      </c>
      <c r="B34" s="23" t="inlineStr">
        <is>
          <t>Which laboratory blood test has a high negative predictive value to rule out Deep Vein Thrombosis in low-risk patients?</t>
        </is>
      </c>
      <c r="C34" s="23" t="inlineStr">
        <is>
          <t>Serum Ferritin</t>
        </is>
      </c>
      <c r="D34" s="23" t="inlineStr">
        <is>
          <t>D-Dimer test</t>
        </is>
      </c>
      <c r="E34" s="23" t="inlineStr">
        <is>
          <t>C-Reactive Protein</t>
        </is>
      </c>
      <c r="F34" s="23" t="inlineStr">
        <is>
          <t>Serum Amylase</t>
        </is>
      </c>
      <c r="G34" s="23" t="inlineStr">
        <is>
          <t>Prothrombin Time</t>
        </is>
      </c>
      <c r="H34" s="20" t="inlineStr"/>
      <c r="I34" s="21">
        <f>IF(ISBLANK(H34), "", IF(H34='Answer Key &amp; Explanations'!C34, "✅ Correct", "❌ Incorrect (See Key)"))</f>
        <v/>
      </c>
    </row>
    <row r="35">
      <c r="A35" s="18" t="inlineStr">
        <is>
          <t>Q27</t>
        </is>
      </c>
      <c r="B35" s="19" t="inlineStr">
        <is>
          <t>What is the primary pharmacological management for an established proximal Deep Vein Thrombosis?</t>
        </is>
      </c>
      <c r="C35" s="19" t="inlineStr">
        <is>
          <t>Aspirin 75 mg daily</t>
        </is>
      </c>
      <c r="D35" s="19" t="inlineStr">
        <is>
          <t>Therapeutic Anticoagulation (LMWH or DOACs for at least 3 months)</t>
        </is>
      </c>
      <c r="E35" s="19" t="inlineStr">
        <is>
          <t>Prophylactic Heparin 5000 units SC once weekly</t>
        </is>
      </c>
      <c r="F35" s="19" t="inlineStr">
        <is>
          <t>Intravenous Antibiotics</t>
        </is>
      </c>
      <c r="G35" s="19" t="inlineStr">
        <is>
          <t>Oral Pentoxifylline</t>
        </is>
      </c>
      <c r="H35" s="20" t="inlineStr"/>
      <c r="I35" s="21">
        <f>IF(ISBLANK(H35), "", IF(H35='Answer Key &amp; Explanations'!C35, "✅ Correct", "❌ Incorrect (See Key)"))</f>
        <v/>
      </c>
    </row>
    <row r="36">
      <c r="A36" s="22" t="inlineStr">
        <is>
          <t>Q28</t>
        </is>
      </c>
      <c r="B36" s="23" t="inlineStr">
        <is>
          <t>In Buerger's disease (Thromboangiitis Obliterans), which patient demographic and risk factor is strongly and exclusively linked?</t>
        </is>
      </c>
      <c r="C36" s="23" t="inlineStr">
        <is>
          <t>Elderly female non-smokers</t>
        </is>
      </c>
      <c r="D36" s="23" t="inlineStr">
        <is>
          <t>Young male heavy tobacco smokers (&lt; 45 years)</t>
        </is>
      </c>
      <c r="E36" s="23" t="inlineStr">
        <is>
          <t>Diabetic post-menopausal females</t>
        </is>
      </c>
      <c r="F36" s="23" t="inlineStr">
        <is>
          <t>Patients with atrial fibrillation</t>
        </is>
      </c>
      <c r="G36" s="23" t="inlineStr">
        <is>
          <t>Pediatric patients with trauma</t>
        </is>
      </c>
      <c r="H36" s="20" t="inlineStr"/>
      <c r="I36" s="21">
        <f>IF(ISBLANK(H36), "", IF(H36='Answer Key &amp; Explanations'!C36, "✅ Correct", "❌ Incorrect (See Key)"))</f>
        <v/>
      </c>
    </row>
    <row r="37">
      <c r="A37" s="18" t="inlineStr">
        <is>
          <t>Q29</t>
        </is>
      </c>
      <c r="B37" s="19" t="inlineStr">
        <is>
          <t>An arterial ulcer located over the tips of the toes or lateral malleolus is characteristically:</t>
        </is>
      </c>
      <c r="C37" s="19" t="inlineStr">
        <is>
          <t>Painless and covered with healthy red granulation tissue</t>
        </is>
      </c>
      <c r="D37" s="19" t="inlineStr">
        <is>
          <t>Punched-out with well-defined borders, pale ungranulated base, and exquisitely painful</t>
        </is>
      </c>
      <c r="E37" s="19" t="inlineStr">
        <is>
          <t>Large, shallow, and painless</t>
        </is>
      </c>
      <c r="F37" s="19" t="inlineStr">
        <is>
          <t>Associated with warm hyperemic skin</t>
        </is>
      </c>
      <c r="G37" s="19" t="inlineStr">
        <is>
          <t>Surrounded by heavy venous eczema</t>
        </is>
      </c>
      <c r="H37" s="20" t="inlineStr"/>
      <c r="I37" s="21">
        <f>IF(ISBLANK(H37), "", IF(H37='Answer Key &amp; Explanations'!C37, "✅ Correct", "❌ Incorrect (See Key)"))</f>
        <v/>
      </c>
    </row>
    <row r="38">
      <c r="A38" s="22" t="inlineStr">
        <is>
          <t>Q30</t>
        </is>
      </c>
      <c r="B38" s="23" t="inlineStr">
        <is>
          <t>Which medication is prescribed in peripheral arterial disease specifically to inhibit platelet aggregation and improve claudication distance?</t>
        </is>
      </c>
      <c r="C38" s="23" t="inlineStr">
        <is>
          <t>Aspirin or Clopidogrel</t>
        </is>
      </c>
      <c r="D38" s="23" t="inlineStr">
        <is>
          <t>Warfarin</t>
        </is>
      </c>
      <c r="E38" s="23" t="inlineStr">
        <is>
          <t>Furosemide</t>
        </is>
      </c>
      <c r="F38" s="23" t="inlineStr">
        <is>
          <t>Amlodipine</t>
        </is>
      </c>
      <c r="G38" s="23" t="inlineStr">
        <is>
          <t>Digoxin</t>
        </is>
      </c>
      <c r="H38" s="20" t="inlineStr"/>
      <c r="I38" s="21">
        <f>IF(ISBLANK(H38), "", IF(H38='Answer Key &amp; Explanations'!C38, "✅ Correct", "❌ Incorrect (See Key)"))</f>
        <v/>
      </c>
    </row>
  </sheetData>
  <mergeCells count="2">
    <mergeCell ref="A1:I2"/>
    <mergeCell ref="A3:D3"/>
  </mergeCells>
  <dataValidations count="1">
    <dataValidation sqref="H9:H38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75" customWidth="1" min="4" max="4"/>
  </cols>
  <sheetData>
    <row r="1">
      <c r="A1" s="1" t="inlineStr">
        <is>
          <t>MODULE 3: PERIPHERAL VASCULAR &amp; ACUTE ISCHEMIC LIMB - INSTRUCTOR ANSWER KEY &amp; RATIONALES</t>
        </is>
      </c>
    </row>
    <row r="2"/>
    <row r="8">
      <c r="A8" s="17" t="inlineStr">
        <is>
          <t>Q#</t>
        </is>
      </c>
      <c r="B8" s="17" t="inlineStr">
        <is>
          <t>Question Stem Summary</t>
        </is>
      </c>
      <c r="C8" s="17" t="inlineStr">
        <is>
          <t>Correct Key</t>
        </is>
      </c>
      <c r="D8" s="17" t="inlineStr">
        <is>
          <t>Comprehensive Clinical Explanation &amp; Source Grounding</t>
        </is>
      </c>
    </row>
    <row r="9">
      <c r="A9" s="18" t="inlineStr">
        <is>
          <t>Q1</t>
        </is>
      </c>
      <c r="B9" s="19" t="inlineStr">
        <is>
          <t>A 38-year-old female with mitral stenosis and atrial fibrillation presents with sudden excruciating right leg pain for 4 hours. The leg is pale, cold, and pulseless below the popliteal artery. What is the provisional diagnosis?</t>
        </is>
      </c>
      <c r="C9" s="15" t="inlineStr">
        <is>
          <t>B</t>
        </is>
      </c>
      <c r="D9" s="19" t="inlineStr">
        <is>
          <t>Sudden onset of severe limb pain, pallor, coldness, and pulselessness in a patient with atrial fibrillation is classic for acute embolic arterial occlusion.</t>
        </is>
      </c>
    </row>
    <row r="10">
      <c r="A10" s="22" t="inlineStr">
        <is>
          <t>Q2</t>
        </is>
      </c>
      <c r="B10" s="23" t="inlineStr">
        <is>
          <t>Which of the following represents the classic '6 Ps' of acute limb ischemia?</t>
        </is>
      </c>
      <c r="C10" s="15" t="inlineStr">
        <is>
          <t>A</t>
        </is>
      </c>
      <c r="D10" s="23" t="inlineStr">
        <is>
          <t>The 6 Ps of acute limb ischemia are Pain, Pallor, Pulselessness, Paresthesia, Paralysis, and Poikilothermia (perishingly cold).</t>
        </is>
      </c>
    </row>
    <row r="11">
      <c r="A11" s="18" t="inlineStr">
        <is>
          <t>Q3</t>
        </is>
      </c>
      <c r="B11" s="19" t="inlineStr">
        <is>
          <t>Which anatomical location is the most common site for cardiac embolic impaction in the lower extremity?</t>
        </is>
      </c>
      <c r="C11" s="15" t="inlineStr">
        <is>
          <t>B</t>
        </is>
      </c>
      <c r="D11" s="19" t="inlineStr">
        <is>
          <t>The common femoral artery bifurcation is the most frequent site (~35-40%) for arterial emboli to lodge in the lower extremity.</t>
        </is>
      </c>
    </row>
    <row r="12">
      <c r="A12" s="22" t="inlineStr">
        <is>
          <t>Q4</t>
        </is>
      </c>
      <c r="B12" s="23" t="inlineStr">
        <is>
          <t>How does acute arterial Embolism clinically differ from acute-on-chronic Arterial Thrombosis?</t>
        </is>
      </c>
      <c r="C12" s="15" t="inlineStr">
        <is>
          <t>C</t>
        </is>
      </c>
      <c r="D12" s="23" t="inlineStr">
        <is>
          <t>Embolism presents abruptly in a patient with a cardiac risk factor (AF) and healthy contralateral pulses. Thrombosis presents gradually on a background of pre-existing PAD.</t>
        </is>
      </c>
    </row>
    <row r="13">
      <c r="A13" s="18" t="inlineStr">
        <is>
          <t>Q5</t>
        </is>
      </c>
      <c r="B13" s="19" t="inlineStr">
        <is>
          <t>What is the immediate initial pharmacological management for a patient diagnosed with acute embolic limb ischemia?</t>
        </is>
      </c>
      <c r="C13" s="15" t="inlineStr">
        <is>
          <t>B</t>
        </is>
      </c>
      <c r="D13" s="19" t="inlineStr">
        <is>
          <t>An immediate IV bolus of unfractionated heparin (5,000 IU) prevents propagation of the thrombus and protects the microcirculation while preparing for revascularization.</t>
        </is>
      </c>
    </row>
    <row r="14">
      <c r="A14" s="22" t="inlineStr">
        <is>
          <t>Q6</t>
        </is>
      </c>
      <c r="B14" s="23" t="inlineStr">
        <is>
          <t>What is the emergency surgical procedure of choice for acute embolic occlusion of the femoral artery?</t>
        </is>
      </c>
      <c r="C14" s="15" t="inlineStr">
        <is>
          <t>B</t>
        </is>
      </c>
      <c r="D14" s="23" t="inlineStr">
        <is>
          <t>Emergency Fogarty catheter embolectomy via a groin incision under local/regional anesthesia is the gold standard procedure for acute embolic limb ischemia.</t>
        </is>
      </c>
    </row>
    <row r="15">
      <c r="A15" s="18" t="inlineStr">
        <is>
          <t>Q7</t>
        </is>
      </c>
      <c r="B15" s="19" t="inlineStr">
        <is>
          <t>An Ankle-Brachial Pressure Index (ABPI) value of 0.35 in a patient with calf rest pain indicates which severity of arterial disease?</t>
        </is>
      </c>
      <c r="C15" s="15" t="inlineStr">
        <is>
          <t>C</t>
        </is>
      </c>
      <c r="D15" s="19" t="inlineStr">
        <is>
          <t>ABPI ranges: Normal &gt;= 1.0; Mild-Moderate Claudication 0.5-0.9; Severe/Critical Ischemia &lt; 0.5. Values &gt; 1.4 indicate non-compressible calcified arteries (e.g. diabetes).</t>
        </is>
      </c>
    </row>
    <row r="16">
      <c r="A16" s="22" t="inlineStr">
        <is>
          <t>Q8</t>
        </is>
      </c>
      <c r="B16" s="23" t="inlineStr">
        <is>
          <t>Which of the following ABPI values strongly suggests Mönckeberg's medial calcific sclerosis in a diabetic patient?</t>
        </is>
      </c>
      <c r="C16" s="15" t="inlineStr">
        <is>
          <t>E</t>
        </is>
      </c>
      <c r="D16" s="23" t="inlineStr">
        <is>
          <t>An ABPI &gt; 1.40 (or 1.50) indicates rigid, non-compressible calcified arteries commonly seen in diabetic patients (Mönckeberg's sclerosis), requiring Toe-Brachial Index (TBI) testing.</t>
        </is>
      </c>
    </row>
    <row r="17">
      <c r="A17" s="18" t="inlineStr">
        <is>
          <t>Q9</t>
        </is>
      </c>
      <c r="B17" s="19" t="inlineStr">
        <is>
          <t>What symptom is characteristic of Critical Limb-Threatening Ischemia (CLTI)?</t>
        </is>
      </c>
      <c r="C17" s="15" t="inlineStr">
        <is>
          <t>B</t>
        </is>
      </c>
      <c r="D17" s="19" t="inlineStr">
        <is>
          <t>Ischemic rest pain affects the toes/metatarsals, worsens at night when supine in bed (loss of gravity), and is characteristically relieved by dangling the leg over the side of the bed.</t>
        </is>
      </c>
    </row>
    <row r="18">
      <c r="A18" s="22" t="inlineStr">
        <is>
          <t>Q10</t>
        </is>
      </c>
      <c r="B18" s="23" t="inlineStr">
        <is>
          <t>Spinal (neurogenic) claudication can be distinguished from vascular claudication because spinal claudication is:</t>
        </is>
      </c>
      <c r="C18" s="15" t="inlineStr">
        <is>
          <t>B</t>
        </is>
      </c>
      <c r="D18" s="23" t="inlineStr">
        <is>
          <t>Flexing the lumbar spine (walking uphill or leaning over a shopping cart) widens the spinal canal, relieving neurogenic claudication. Vascular claudication worsens walking uphill.</t>
        </is>
      </c>
    </row>
    <row r="19">
      <c r="A19" s="18" t="inlineStr">
        <is>
          <t>Q11</t>
        </is>
      </c>
      <c r="B19" s="19" t="inlineStr">
        <is>
          <t>In contrast to neurogenic claudication, vascular claudication is characteristically relieved by:</t>
        </is>
      </c>
      <c r="C19" s="15" t="inlineStr">
        <is>
          <t>B</t>
        </is>
      </c>
      <c r="D19" s="19" t="inlineStr">
        <is>
          <t>Vascular claudication is brought on by a predictable exertion distance and is promptly relieved within 1-2 minutes simply by standing still (stopping muscle work).</t>
        </is>
      </c>
    </row>
    <row r="20">
      <c r="A20" s="22" t="inlineStr">
        <is>
          <t>Q12</t>
        </is>
      </c>
      <c r="B20" s="23" t="inlineStr">
        <is>
          <t>A patient undergoes successful embolectomy 10 hours after popliteal artery occlusion. 3 hours later, he develops severe calf pain on passive toe flexion, swelling, and firm calf compartments. What complication is present?</t>
        </is>
      </c>
      <c r="C20" s="15" t="inlineStr">
        <is>
          <t>B</t>
        </is>
      </c>
      <c r="D20" s="23" t="inlineStr">
        <is>
          <t>Revascularization after &gt; 6 hours of ischemia causes microvascular leak and edema (reperfusion injury), raising intracompartmental pressure and causing acute compartment syndrome.</t>
        </is>
      </c>
    </row>
    <row r="21">
      <c r="A21" s="18" t="inlineStr">
        <is>
          <t>Q13</t>
        </is>
      </c>
      <c r="B21" s="19" t="inlineStr">
        <is>
          <t>What is the single most sensitive clinical test for diagnosing acute compartment syndrome of the leg?</t>
        </is>
      </c>
      <c r="C21" s="15" t="inlineStr">
        <is>
          <t>B</t>
        </is>
      </c>
      <c r="D21" s="19" t="inlineStr">
        <is>
          <t>Severe pain on passive stretching of muscles within the affected compartment is the earliest and most sensitive clinical sign of acute compartment syndrome. Pulses often remain present.</t>
        </is>
      </c>
    </row>
    <row r="22">
      <c r="A22" s="22" t="inlineStr">
        <is>
          <t>Q14</t>
        </is>
      </c>
      <c r="B22" s="23" t="inlineStr">
        <is>
          <t>What is the definitive emergency surgical management for acute lower leg compartment syndrome?</t>
        </is>
      </c>
      <c r="C22" s="15" t="inlineStr">
        <is>
          <t>B</t>
        </is>
      </c>
      <c r="D22" s="23" t="inlineStr">
        <is>
          <t>Emergency two-incision, four-compartment fasciotomy (releasing anterior, lateral, superficial posterior, and deep posterior compartments) is required immediately to prevent irreversible necrosis.</t>
        </is>
      </c>
    </row>
    <row r="23">
      <c r="A23" s="18" t="inlineStr">
        <is>
          <t>Q15</t>
        </is>
      </c>
      <c r="B23" s="19" t="inlineStr">
        <is>
          <t>Which condition is classified as a 'Deadly' indication for major limb amputation ('Dead, Deadly, Dead Nuisance')?</t>
        </is>
      </c>
      <c r="C23" s="15" t="inlineStr">
        <is>
          <t>B</t>
        </is>
      </c>
      <c r="D23" s="19" t="inlineStr">
        <is>
          <t>Spreading wet gangrene, ascending necrotizing infection, or severe systemic toxemia is a 'Deadly' emergency indication for major amputation to save the patient's life.</t>
        </is>
      </c>
    </row>
    <row r="24">
      <c r="A24" s="22" t="inlineStr">
        <is>
          <t>Q16</t>
        </is>
      </c>
      <c r="B24" s="23" t="inlineStr">
        <is>
          <t>Why is a Below-Knee Amputation (BKA) functionally superior to an Above-Knee Amputation (AKA)?</t>
        </is>
      </c>
      <c r="C24" s="15" t="inlineStr">
        <is>
          <t>B</t>
        </is>
      </c>
      <c r="D24" s="23" t="inlineStr">
        <is>
          <t>Preserving the knee joint in BKA reduces the metabolic energy cost of prosthetic ambulation by 30-40% compared to AKA, leading to far superior rehabilitation success.</t>
        </is>
      </c>
    </row>
    <row r="25">
      <c r="A25" s="18" t="inlineStr">
        <is>
          <t>Q17</t>
        </is>
      </c>
      <c r="B25" s="19" t="inlineStr">
        <is>
          <t>According to the CEAP classification for chronic venous disease, what does stage C6 represent?</t>
        </is>
      </c>
      <c r="C25" s="15" t="inlineStr">
        <is>
          <t>D</t>
        </is>
      </c>
      <c r="D25" s="19" t="inlineStr">
        <is>
          <t>CEAP Clinical Stages: C0=None; C1=Telangiectasias; C2=Varicose veins; C3=Edema; C4=Skin changes; C5=Healed venous ulcer; C6=Active open venous ulcer.</t>
        </is>
      </c>
    </row>
    <row r="26">
      <c r="A26" s="22" t="inlineStr">
        <is>
          <t>Q18</t>
        </is>
      </c>
      <c r="B26" s="23" t="inlineStr">
        <is>
          <t>Where do classic venous stasis ulcers characteristically occur on the lower extremity?</t>
        </is>
      </c>
      <c r="C26" s="15" t="inlineStr">
        <is>
          <t>B</t>
        </is>
      </c>
      <c r="D26" s="23" t="inlineStr">
        <is>
          <t>Venous ulcers typically develop in the 'gaiter region' (lower third of calf, especially over the medial malleolus) where ambulatory venous hypertension is highest.</t>
        </is>
      </c>
    </row>
    <row r="27">
      <c r="A27" s="18" t="inlineStr">
        <is>
          <t>Q19</t>
        </is>
      </c>
      <c r="B27" s="19" t="inlineStr">
        <is>
          <t>What physical feature distinguishes a classic venous ulcer from an ischemic arterial ulcer?</t>
        </is>
      </c>
      <c r="C27" s="15" t="inlineStr">
        <is>
          <t>B</t>
        </is>
      </c>
      <c r="D27" s="19" t="inlineStr">
        <is>
          <t>Venous ulcers are shallow with irregular borders, pink/sloughy base, mild pain, and surrounding stasis pigmentation. Arterial ulcers are deep, painful, punched-out, with pale bases.</t>
        </is>
      </c>
    </row>
    <row r="28">
      <c r="A28" s="22" t="inlineStr">
        <is>
          <t>Q20</t>
        </is>
      </c>
      <c r="B28" s="23" t="inlineStr">
        <is>
          <t>In the Brodie-Trendelenburg test for varicose veins, rapid filling of veins from above upon release of the thigh tourniquet confirms:</t>
        </is>
      </c>
      <c r="C28" s="15" t="inlineStr">
        <is>
          <t>B</t>
        </is>
      </c>
      <c r="D28" s="23" t="inlineStr">
        <is>
          <t>If veins remain empty while standing with the tourniquet on, but fill rapidly from above when the tourniquet is removed, it confirms Saphenofemoral Junction (SFJ) valve incompetence.</t>
        </is>
      </c>
    </row>
    <row r="29">
      <c r="A29" s="18" t="inlineStr">
        <is>
          <t>Q21</t>
        </is>
      </c>
      <c r="B29" s="19" t="inlineStr">
        <is>
          <t>What is the non-invasive gold standard diagnostic investigation for evaluating varicose veins and venous reflux?</t>
        </is>
      </c>
      <c r="C29" s="15" t="inlineStr">
        <is>
          <t>B</t>
        </is>
      </c>
      <c r="D29" s="19" t="inlineStr">
        <is>
          <t>Venous Duplex Ultrasound is the gold standard diagnostic tool to map superficial and deep vein anatomy, identify reflux sites, and confirm deep vein patency.</t>
        </is>
      </c>
    </row>
    <row r="30">
      <c r="A30" s="22" t="inlineStr">
        <is>
          <t>Q22</t>
        </is>
      </c>
      <c r="B30" s="23" t="inlineStr">
        <is>
          <t>What is considered the first-line modern endovenous treatment for symptomatic Great Saphenous Vein incompetence?</t>
        </is>
      </c>
      <c r="C30" s="15" t="inlineStr">
        <is>
          <t>B</t>
        </is>
      </c>
      <c r="D30" s="23" t="inlineStr">
        <is>
          <t>Endovenous Thermal Ablation (EVLA / RFA) is recommended as first-line treatment by NICE guidelines due to lower morbidity, faster recovery, and high occlusion rates.</t>
        </is>
      </c>
    </row>
    <row r="31">
      <c r="A31" s="18" t="inlineStr">
        <is>
          <t>Q23</t>
        </is>
      </c>
      <c r="B31" s="19" t="inlineStr">
        <is>
          <t>Which of the following constitutes Virchow's Triad for the development of Deep Vein Thrombosis (DVT)?</t>
        </is>
      </c>
      <c r="C31" s="15" t="inlineStr">
        <is>
          <t>B</t>
        </is>
      </c>
      <c r="D31" s="19" t="inlineStr">
        <is>
          <t>Virchow's Triad consists of Venous Stasis, Endothelial/Vessel Wall Injury, and Hypercoagulability of blood.</t>
        </is>
      </c>
    </row>
    <row r="32">
      <c r="A32" s="22" t="inlineStr">
        <is>
          <t>Q24</t>
        </is>
      </c>
      <c r="B32" s="23" t="inlineStr">
        <is>
          <t>What is the most serious life-threatening acute complication of Deep Vein Thrombosis (DVT)?</t>
        </is>
      </c>
      <c r="C32" s="15" t="inlineStr">
        <is>
          <t>B</t>
        </is>
      </c>
      <c r="D32" s="23" t="inlineStr">
        <is>
          <t>Pulmonary Embolism (PE) occurs when a deep vein thrombus (usually proximal iliofemoral) detaches and embolizes to the pulmonary arterial tree, threatening sudden cardiac arrest.</t>
        </is>
      </c>
    </row>
    <row r="33">
      <c r="A33" s="18" t="inlineStr">
        <is>
          <t>Q25</t>
        </is>
      </c>
      <c r="B33" s="19" t="inlineStr">
        <is>
          <t>Phlegmasia cerulea dolens is a rare, severe form of massive iliofemoral DVT characterized by:</t>
        </is>
      </c>
      <c r="C33" s="15" t="inlineStr">
        <is>
          <t>B</t>
        </is>
      </c>
      <c r="D33" s="19" t="inlineStr">
        <is>
          <t>Phlegmasia cerulea dolens is massive, near-total venous thrombosis causing intense cyanosis, severe pain, massive edema, and secondary arterial ischemia (venous gangrene).</t>
        </is>
      </c>
    </row>
    <row r="34">
      <c r="A34" s="22" t="inlineStr">
        <is>
          <t>Q26</t>
        </is>
      </c>
      <c r="B34" s="23" t="inlineStr">
        <is>
          <t>Which laboratory blood test has a high negative predictive value to rule out Deep Vein Thrombosis in low-risk patients?</t>
        </is>
      </c>
      <c r="C34" s="15" t="inlineStr">
        <is>
          <t>B</t>
        </is>
      </c>
      <c r="D34" s="23" t="inlineStr">
        <is>
          <t>A negative D-Dimer test (&lt; 500 ng/mL) reliably rules out DVT in patients categorized as low probability on the Wells clinical prediction score.</t>
        </is>
      </c>
    </row>
    <row r="35">
      <c r="A35" s="18" t="inlineStr">
        <is>
          <t>Q27</t>
        </is>
      </c>
      <c r="B35" s="19" t="inlineStr">
        <is>
          <t>What is the primary pharmacological management for an established proximal Deep Vein Thrombosis?</t>
        </is>
      </c>
      <c r="C35" s="15" t="inlineStr">
        <is>
          <t>B</t>
        </is>
      </c>
      <c r="D35" s="19" t="inlineStr">
        <is>
          <t>Treatment of proximal DVT requires therapeutic anticoagulation (LMWH bridged to Warfarin or a direct oral anticoagulant like Rivaroxaban) for a minimum of 3 to 6 months.</t>
        </is>
      </c>
    </row>
    <row r="36">
      <c r="A36" s="22" t="inlineStr">
        <is>
          <t>Q28</t>
        </is>
      </c>
      <c r="B36" s="23" t="inlineStr">
        <is>
          <t>In Buerger's disease (Thromboangiitis Obliterans), which patient demographic and risk factor is strongly and exclusively linked?</t>
        </is>
      </c>
      <c r="C36" s="15" t="inlineStr">
        <is>
          <t>B</t>
        </is>
      </c>
      <c r="D36" s="23" t="inlineStr">
        <is>
          <t>Thromboangiitis Obliterans (Buerger's disease) is a non-atherosclerotic segmental inflammatory vasculitis strongly linked to young male heavy smokers.</t>
        </is>
      </c>
    </row>
    <row r="37">
      <c r="A37" s="18" t="inlineStr">
        <is>
          <t>Q29</t>
        </is>
      </c>
      <c r="B37" s="19" t="inlineStr">
        <is>
          <t>An arterial ulcer located over the tips of the toes or lateral malleolus is characteristically:</t>
        </is>
      </c>
      <c r="C37" s="15" t="inlineStr">
        <is>
          <t>B</t>
        </is>
      </c>
      <c r="D37" s="19" t="inlineStr">
        <is>
          <t>Arterial ulcers are ischemic, appearing punched-out with clean vertical edges, pale necrotic base, absent distal pulses, and severe pain.</t>
        </is>
      </c>
    </row>
    <row r="38">
      <c r="A38" s="22" t="inlineStr">
        <is>
          <t>Q30</t>
        </is>
      </c>
      <c r="B38" s="23" t="inlineStr">
        <is>
          <t>Which medication is prescribed in peripheral arterial disease specifically to inhibit platelet aggregation and improve claudication distance?</t>
        </is>
      </c>
      <c r="C38" s="15" t="inlineStr">
        <is>
          <t>A</t>
        </is>
      </c>
      <c r="D38" s="23" t="inlineStr">
        <is>
          <t>Antiplatelet therapy (Clopidogrel 75 mg daily or Aspirin 75 mg daily) reduces major cardiovascular events and secondary thrombotic events in PAD patients.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2026-10-04T16:44:06Z</dcterms:created>
  <dcterms:modified xmlns:dcterms="http://purl.org/dc/terms/" xmlns:xsi="http://www.w3.org/2001/XMLSchema-instance" xsi:type="dcterms:W3CDTF">2026-10-04T16:44:06Z</dcterms:modified>
</cp:coreProperties>
</file>