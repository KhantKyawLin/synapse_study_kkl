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Scorecard"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1F497D"/>
      <sz val="16"/>
    </font>
    <font>
      <name val="Calibri"/>
      <b val="1"/>
      <color rgb="001F497D"/>
      <sz val="13"/>
    </font>
    <font>
      <name val="Calibri"/>
      <b val="1"/>
      <sz val="11"/>
    </font>
    <font>
      <name val="Calibri"/>
      <b val="1"/>
      <color rgb="001F497D"/>
      <sz val="12"/>
    </font>
    <font>
      <name val="Calibri"/>
      <sz val="10"/>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64" fontId="3" fillId="0" borderId="0" applyAlignment="1" pivotButton="0" quotePrefix="0" xfId="0">
      <alignment horizontal="center"/>
    </xf>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vertical="top" wrapText="1"/>
    </xf>
    <xf numFmtId="0" fontId="3" fillId="0" borderId="0" applyAlignment="1" pivotButton="0" quotePrefix="0" xfId="0">
      <alignment horizontal="center" vertical="top"/>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28" customWidth="1" min="1" max="1"/>
    <col width="35" customWidth="1" min="2" max="2"/>
  </cols>
  <sheetData>
    <row r="1">
      <c r="A1" s="1" t="inlineStr">
        <is>
          <t>MODULE 7: BREAST &amp; ENDOCRINE SURGERY INTERACTIVE QUIZ</t>
        </is>
      </c>
    </row>
    <row r="3">
      <c r="A3" t="inlineStr">
        <is>
          <t>Student Name:</t>
        </is>
      </c>
      <c r="B3" t="inlineStr">
        <is>
          <t>Candidate 1</t>
        </is>
      </c>
    </row>
    <row r="4">
      <c r="A4" t="inlineStr">
        <is>
          <t>Module:</t>
        </is>
      </c>
      <c r="B4" t="inlineStr">
        <is>
          <t>Module 7: Breast &amp; Endocrine Surgery</t>
        </is>
      </c>
    </row>
    <row r="6">
      <c r="A6" s="2" t="inlineStr">
        <is>
          <t>SCORECARD SUMMARY</t>
        </is>
      </c>
    </row>
    <row r="7">
      <c r="A7" s="3" t="inlineStr">
        <is>
          <t>Total Questions</t>
        </is>
      </c>
      <c r="B7" s="4">
        <f>COUNTA('Interactive Quiz'!A4:A33)</f>
        <v/>
      </c>
    </row>
    <row r="8">
      <c r="A8" s="3" t="inlineStr">
        <is>
          <t>Questions Answered</t>
        </is>
      </c>
      <c r="B8" s="4">
        <f>COUNTA('Interactive Quiz'!C4:C33)</f>
        <v/>
      </c>
    </row>
    <row r="9">
      <c r="A9" s="3" t="inlineStr">
        <is>
          <t>Correct Answers</t>
        </is>
      </c>
      <c r="B9" s="4">
        <f>COUNTIF('Interactive Quiz'!E4:E33, "CORRECT")</f>
        <v/>
      </c>
    </row>
    <row r="10">
      <c r="A10" s="3" t="inlineStr">
        <is>
          <t>Incorrect Answers</t>
        </is>
      </c>
      <c r="B10" s="4">
        <f>COUNTIF('Interactive Quiz'!E4:E33, "INCORRECT")</f>
        <v/>
      </c>
    </row>
    <row r="11">
      <c r="A11" s="3" t="inlineStr">
        <is>
          <t>Score Percentage</t>
        </is>
      </c>
      <c r="B11" s="5">
        <f>IF(B7&gt;0, B9/B7, 0)</f>
        <v/>
      </c>
    </row>
    <row r="13">
      <c r="A13" s="6" t="inlineStr">
        <is>
          <t>INSTRUCTIONS:</t>
        </is>
      </c>
    </row>
    <row r="14">
      <c r="A14" s="7" t="inlineStr">
        <is>
          <t>1. Switch to the 'Interactive Quiz' tab.</t>
        </is>
      </c>
    </row>
    <row r="15">
      <c r="A15" s="7" t="inlineStr">
        <is>
          <t>2. Read each clinical scenario and select your answer (A, B, C, D, or E) from the drop-down menu in Column C.</t>
        </is>
      </c>
    </row>
    <row r="16">
      <c r="A16" s="7" t="inlineStr">
        <is>
          <t>3. Column E will automatically evaluate your answer as CORRECT or INCORRECT.</t>
        </is>
      </c>
    </row>
    <row r="17">
      <c r="A17" s="7" t="inlineStr">
        <is>
          <t>4. Detailed high-yield clinical rationales will appear in Column F once answered.</t>
        </is>
      </c>
    </row>
    <row r="18">
      <c r="A18" s="7" t="inlineStr">
        <is>
          <t>5. Return to this tab anytime to check your live score percentage and total correct answers.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showGridLines="1" workbookViewId="0">
      <selection activeCell="A1" sqref="A1"/>
    </sheetView>
  </sheetViews>
  <sheetFormatPr baseColWidth="8" defaultRowHeight="15"/>
  <cols>
    <col width="8" customWidth="1" min="1" max="1"/>
    <col width="55" customWidth="1" min="2" max="2"/>
    <col width="15" customWidth="1" min="3" max="3"/>
    <col width="14" customWidth="1" min="4" max="4"/>
    <col width="15" customWidth="1" min="5" max="5"/>
    <col width="45" customWidth="1" min="6" max="6"/>
  </cols>
  <sheetData>
    <row r="1" ht="28" customHeight="1">
      <c r="A1" s="8" t="inlineStr">
        <is>
          <t>Q#</t>
        </is>
      </c>
      <c r="B1" s="8" t="inlineStr">
        <is>
          <t>Clinical Scenario &amp; Options</t>
        </is>
      </c>
      <c r="C1" s="8" t="inlineStr">
        <is>
          <t>Select Answer</t>
        </is>
      </c>
      <c r="D1" s="8" t="inlineStr">
        <is>
          <t>Correct Ans</t>
        </is>
      </c>
      <c r="E1" s="8" t="inlineStr">
        <is>
          <t>Result</t>
        </is>
      </c>
      <c r="F1" s="8" t="inlineStr">
        <is>
          <t>High-Yield Clinical Rationale</t>
        </is>
      </c>
    </row>
    <row r="4" ht="110" customHeight="1">
      <c r="A4" s="9" t="n">
        <v>1</v>
      </c>
      <c r="B4" s="10" t="inlineStr">
        <is>
          <t>A 22-year-old female presents with a 2 cm smooth, firm, painless, highly mobile lump in her left breast that she noticed 3 months ago. Clinical exam reveals no skin changes or axillary lymphadenopathy. Ultrasound shows a well-circumscribed hypoechoic oval lesion. What is the most appropriate management?
A. Immediate total mastectomy
B. Reassurance and conservative observation
C. Neoadjuvant chemotherapy
D. Wide local excision with axillary dissection
E. High-dose oral Tamoxifen</t>
        </is>
      </c>
      <c r="C4" s="11" t="n"/>
      <c r="D4" s="11" t="inlineStr">
        <is>
          <t>B</t>
        </is>
      </c>
      <c r="E4" s="11">
        <f>IF(C4="","",IF(C4=D4,"CORRECT","INCORRECT"))</f>
        <v/>
      </c>
      <c r="F4" s="10" t="inlineStr">
        <is>
          <t>Fibroadenoma ('breast mouse') in a young female &lt;35 yrs with benign triple assessment features (&lt;3 cm, asymptomatic) is managed conservatively with reassurance.</t>
        </is>
      </c>
    </row>
    <row r="5" ht="110" customHeight="1">
      <c r="A5" s="9" t="n">
        <v>2</v>
      </c>
      <c r="B5" s="10" t="inlineStr">
        <is>
          <t>A 45-year-old woman presents with a rapidly growing 7 cm painless breast mass. Core biopsy demonstrates a hypercellular stromal neoplasm with leaf-like architectural projections. Histology confirms a borderline Phyllodes tumor. What is the optimal surgical management?
A. Wide local excision with ≥1 cm clear margins
B. Lumpectomy with routine Axillary Lymph Node Dissection
C. Oral Letrozole monotherapy for 6 months
D. External beam radiotherapy without surgery
E. Simple observation</t>
        </is>
      </c>
      <c r="C5" s="11" t="n"/>
      <c r="D5" s="11" t="inlineStr">
        <is>
          <t>A</t>
        </is>
      </c>
      <c r="E5" s="11">
        <f>IF(C5="","",IF(C5=D5,"CORRECT","INCORRECT"))</f>
        <v/>
      </c>
      <c r="F5" s="10" t="inlineStr">
        <is>
          <t>Phyllodes tumors require Wide Local Excision with clear margins (≥1 cm) or total mastectomy if large. Axillary dissection is NOT required as metastasis occurs hematogenously, not lymphatically.</t>
        </is>
      </c>
    </row>
    <row r="6" ht="110" customHeight="1">
      <c r="A6" s="9" t="n">
        <v>3</v>
      </c>
      <c r="B6" s="10" t="inlineStr">
        <is>
          <t>A 52-year-old asymptomatic woman undergoes routine screening mammography, which reveals a cluster of pleomorphic microcalcifications in the upper outer quadrant of her right breast. Core biopsy confirms Ductal Carcinoma In Situ (DCIS). What defines this lesion pathologically?
A. Tumor invasion into the deep pectoral fascia
B. Malignant proliferation confined within ducts without breaching the basement membrane
C. Dermal lymphatic emboli causing peau d'orange
D. Hematogenous dissemination to lumbar vertebrae
E. Stromal invasion with HER2 gene amplification</t>
        </is>
      </c>
      <c r="C6" s="11" t="n"/>
      <c r="D6" s="11" t="inlineStr">
        <is>
          <t>B</t>
        </is>
      </c>
      <c r="E6" s="11">
        <f>IF(C6="","",IF(C6=D6,"CORRECT","INCORRECT"))</f>
        <v/>
      </c>
      <c r="F6" s="10" t="inlineStr">
        <is>
          <t>DCIS is a non-invasive neoplastic proliferation of ductal epithelial cells that does not breach the epithelial basement membrane.</t>
        </is>
      </c>
    </row>
    <row r="7" ht="110" customHeight="1">
      <c r="A7" s="9" t="n">
        <v>4</v>
      </c>
      <c r="B7" s="10" t="inlineStr">
        <is>
          <t>A 60-year-old female with a 2.5 cm Invasive Ductal Carcinoma of the breast has a clinically negative axilla (N0). What is the preferred diagnostic surgical procedure to assess axillary nodal status while minimizing the risk of lymphedema?
A. Complete Level I-III Axillary Node Dissection
B. Sentinel Lymph Node Biopsy (SLNB)
C. Routine supraclavicular node sampling
D. PET-CT scan without tissue biopsy
E. Blind axillary fat aspiration</t>
        </is>
      </c>
      <c r="C7" s="11" t="n"/>
      <c r="D7" s="11" t="inlineStr">
        <is>
          <t>B</t>
        </is>
      </c>
      <c r="E7" s="11">
        <f>IF(C7="","",IF(C7=D7,"CORRECT","INCORRECT"))</f>
        <v/>
      </c>
      <c r="F7" s="10" t="inlineStr">
        <is>
          <t>SLNB is the gold standard for staging the clinically node-negative (N0) axilla in invasive breast cancer, accurately predicting nodal status while avoiding ALND morbidity.</t>
        </is>
      </c>
    </row>
    <row r="8" ht="110" customHeight="1">
      <c r="A8" s="9" t="n">
        <v>5</v>
      </c>
      <c r="B8" s="10" t="inlineStr">
        <is>
          <t>A 40-year-old female presents with spontaneous, single-duct blood-stained discharge from her right nipple. Palpation reveals a specific trigger zone in the subareolar region. What is the most common underlying cause?
A. Intraductal Papilloma
B. Fibroadenoma
C. Acute Lactational Mastitis
D. Fat Necrosis of breast
E. Phyllodes tumor</t>
        </is>
      </c>
      <c r="C8" s="11" t="n"/>
      <c r="D8" s="11" t="inlineStr">
        <is>
          <t>A</t>
        </is>
      </c>
      <c r="E8" s="11">
        <f>IF(C8="","",IF(C8=D8,"CORRECT","INCORRECT"))</f>
        <v/>
      </c>
      <c r="F8" s="10" t="inlineStr">
        <is>
          <t>Intraductal Papilloma is the single most common benign cause of spontaneous, bloody or serosanguinous single-duct nipple discharge.</t>
        </is>
      </c>
    </row>
    <row r="9" ht="110" customHeight="1">
      <c r="A9" s="9" t="n">
        <v>6</v>
      </c>
      <c r="B9" s="10" t="inlineStr">
        <is>
          <t>A 28-year-old lactating female presents with a painful, fluctuant, erythematous 3 cm mass in her right breast accompanied by high fever and rigors. Breast Ultrasound confirms a localized fluid collection. What is the first-line therapeutic management?
A. Immediate wide open incision and drainage under general anesthesia
B. Ultrasound-guided needle aspiration + oral Flucloxacillin
C. Cessation of breastfeeding and tight breast binding
D. High-dose oral steroids
E. Simple warm compresses alone</t>
        </is>
      </c>
      <c r="C9" s="11" t="n"/>
      <c r="D9" s="11" t="inlineStr">
        <is>
          <t>B</t>
        </is>
      </c>
      <c r="E9" s="11">
        <f>IF(C9="","",IF(C9=D9,"CORRECT","INCORRECT"))</f>
        <v/>
      </c>
      <c r="F9" s="10" t="inlineStr">
        <is>
          <t>USG-guided needle aspiration combined with targeted antibiotics (Flucloxacillin) is the first-line treatment for lactational breast abscesses, avoiding open scar formation.</t>
        </is>
      </c>
    </row>
    <row r="10" ht="110" customHeight="1">
      <c r="A10" s="9" t="n">
        <v>7</v>
      </c>
      <c r="B10" s="10" t="inlineStr">
        <is>
          <t>A 65-year-old postmenopausal woman with ER-positive, PR-positive Invasive Ductal Carcinoma undergoes breast-conserving surgery. Which systemic adjuvant endocrine therapy is most appropriate?
A. Oral Tamoxifen
B. Oral Aromatase Inhibitor (e.g., Letrozole or Anastrozole)
C. Intravenous Trastuzumab monotherapy
D. High-dose systemic Corticosteroids
E. Subcutaneous Insulin therapy</t>
        </is>
      </c>
      <c r="C10" s="11" t="n"/>
      <c r="D10" s="11" t="inlineStr">
        <is>
          <t>B</t>
        </is>
      </c>
      <c r="E10" s="11">
        <f>IF(C10="","",IF(C10=D10,"CORRECT","INCORRECT"))</f>
        <v/>
      </c>
      <c r="F10" s="10" t="inlineStr">
        <is>
          <t>Aromatase Inhibitors (Letrozole, Anastrozole) are superior first-line endocrine agents in postmenopausal females with ER+ breast cancer. Tamoxifen is preferred in premenopausal females.</t>
        </is>
      </c>
    </row>
    <row r="11" ht="110" customHeight="1">
      <c r="A11" s="9" t="n">
        <v>8</v>
      </c>
      <c r="B11" s="10" t="inlineStr">
        <is>
          <t>A 6-year-old girl is brought with a painless 1.5 cm smooth, fluctuant midline neck mass located just inferior to the hyoid bone. On examination, the mass moves upwards both on swallowing AND on tongue protrusion. What is the definitive surgical procedure?
A. Enucleation of cyst alone
B. Sistrunk Operation (excision of cyst, tract, and central hyoid bone)
C. Total Thyroidectomy
D. Incision and drainage
E. Superficial Parotidectomy</t>
        </is>
      </c>
      <c r="C11" s="11" t="n"/>
      <c r="D11" s="11" t="inlineStr">
        <is>
          <t>B</t>
        </is>
      </c>
      <c r="E11" s="11">
        <f>IF(C11="","",IF(C11=D11,"CORRECT","INCORRECT"))</f>
        <v/>
      </c>
      <c r="F11" s="10" t="inlineStr">
        <is>
          <t>Thyroglossal duct cyst moves on tongue protrusion. The Sistrunk procedure involves excision of the cyst, entire embryological tract, and central core of the hyoid bone to prevent recurrence.</t>
        </is>
      </c>
    </row>
    <row r="12" ht="110" customHeight="1">
      <c r="A12" s="9" t="n">
        <v>9</v>
      </c>
      <c r="B12" s="10" t="inlineStr">
        <is>
          <t>A 24-year-old male presents with a smooth, soft, fluctuant mass at the anterior border of the upper third of his left sternocleidomastoid muscle. FNAC yields straw-colored fluid containing abundant cholesterol crystals. What is the diagnosis?
A. Thyroglossal cyst
B. Branchial Cyst
C. Parotid Pleomorphic Adenoma
D. Submandibular sialadenitis
E. Carotid body tumor</t>
        </is>
      </c>
      <c r="C12" s="11" t="n"/>
      <c r="D12" s="11" t="inlineStr">
        <is>
          <t>B</t>
        </is>
      </c>
      <c r="E12" s="11">
        <f>IF(C12="","",IF(C12=D12,"CORRECT","INCORRECT"))</f>
        <v/>
      </c>
      <c r="F12" s="10" t="inlineStr">
        <is>
          <t>Branchial cyst is a congenital 2nd branchial cleft remnant located along the anterior border of the sternocleidomastoid. FNAC classically shows cholesterol crystals.</t>
        </is>
      </c>
    </row>
    <row r="13" ht="110" customHeight="1">
      <c r="A13" s="9" t="n">
        <v>10</v>
      </c>
      <c r="B13" s="10" t="inlineStr">
        <is>
          <t>A 35-year-old female presents with a solitary 2 cm firm thyroid nodule. FNAC shows psammoma bodies, ground-glass nuclei ('Orphan Annie' eyes), and nuclear grooves. What is the most likely diagnosis?
A. Follicular Thyroid Carcinoma
B. Papillary Thyroid Carcinoma
C. Medullary Thyroid Carcinoma
D. Anaplastic Thyroid Carcinoma
E. Reidel Thyroiditis</t>
        </is>
      </c>
      <c r="C13" s="11" t="n"/>
      <c r="D13" s="11" t="inlineStr">
        <is>
          <t>B</t>
        </is>
      </c>
      <c r="E13" s="11">
        <f>IF(C13="","",IF(C13=D13,"CORRECT","INCORRECT"))</f>
        <v/>
      </c>
      <c r="F13" s="10" t="inlineStr">
        <is>
          <t>Orphan Annie eye nuclei, nuclear grooves, and psammoma bodies on FNAC are pathognomonic microscopic features of Papillary Thyroid Carcinoma.</t>
        </is>
      </c>
    </row>
    <row r="14" ht="110" customHeight="1">
      <c r="A14" s="9" t="n">
        <v>11</v>
      </c>
      <c r="B14" s="10" t="inlineStr">
        <is>
          <t>A 48-year-old female undergoes FNAC of a solitary thyroid nodule. The pathologist reports 'Follicular Neoplasm'. Why can FNAC NOT distinguish Follicular Thyroid Adenoma from Follicular Thyroid Carcinoma?
A. Follicular carcinoma cells lack nuclear material
B. FNAC cannot demonstrate capsular or vascular invasion required to diagnose carcinoma
C. Follicular cells do not stain with H&amp;E
D. Thyroid tissue cannot be aspirated with fine needles
E. Calcitonin levels interfere with FNAC interpretation</t>
        </is>
      </c>
      <c r="C14" s="11" t="n"/>
      <c r="D14" s="11" t="inlineStr">
        <is>
          <t>B</t>
        </is>
      </c>
      <c r="E14" s="11">
        <f>IF(C14="","",IF(C14=D14,"CORRECT","INCORRECT"))</f>
        <v/>
      </c>
      <c r="F14" s="10" t="inlineStr">
        <is>
          <t>Follicular adenoma and carcinoma look cytologically identical on FNAC. Histological proof of capsular or vascular invasion on excisional specimen is mandatory to diagnose carcinoma.</t>
        </is>
      </c>
    </row>
    <row r="15" ht="110" customHeight="1">
      <c r="A15" s="9" t="n">
        <v>12</v>
      </c>
      <c r="B15" s="10" t="inlineStr">
        <is>
          <t>A 42-year-old male with a history of recurrent peptic ulcers and kidney stones is found to have a medullary thyroid carcinoma. Genetic testing reveals a germline RET proto-oncogene mutation. Which tumor must be ruled out before thyroid surgery?
A. Insulinoma
B. Pheochromocytoma
C. Pituitary Adenoma
D. Renal Cell Carcinoma
E. Glioma</t>
        </is>
      </c>
      <c r="C15" s="11" t="n"/>
      <c r="D15" s="11" t="inlineStr">
        <is>
          <t>B</t>
        </is>
      </c>
      <c r="E15" s="11">
        <f>IF(C15="","",IF(C15=D15,"CORRECT","INCORRECT"))</f>
        <v/>
      </c>
      <c r="F15" s="10" t="inlineStr">
        <is>
          <t>Medullary Thyroid Carcinoma occurs in MEN 2A and 2B. Co-existing Pheochromocytoma MUST be ruled out (via plasma free metanephrines) and resected first to prevent intraoperative hypertensive crisis.</t>
        </is>
      </c>
    </row>
    <row r="16" ht="110" customHeight="1">
      <c r="A16" s="9" t="n">
        <v>13</v>
      </c>
      <c r="B16" s="10" t="inlineStr">
        <is>
          <t>Which serum biomarker is specifically elevated and used for diagnostic screening and post-operative monitoring in Medullary Thyroid Carcinoma?
A. Alpha-Fetoprotein (AFP)
B. CA 125
C. Serum Calcitonin
D. Prostate-Specific Antigen (PSA)
E. Amylase</t>
        </is>
      </c>
      <c r="C16" s="11" t="n"/>
      <c r="D16" s="11" t="inlineStr">
        <is>
          <t>C</t>
        </is>
      </c>
      <c r="E16" s="11">
        <f>IF(C16="","",IF(C16=D16,"CORRECT","INCORRECT"))</f>
        <v/>
      </c>
      <c r="F16" s="10" t="inlineStr">
        <is>
          <t>Medullary Thyroid Carcinoma arises from C-cells (parafollicular cells) which secrete Calcitonin. Serum Calcitonin is the definitive tumor marker.</t>
        </is>
      </c>
    </row>
    <row r="17" ht="110" customHeight="1">
      <c r="A17" s="9" t="n">
        <v>14</v>
      </c>
      <c r="B17" s="10" t="inlineStr">
        <is>
          <t>A 72-year-old female presents with a 3-week history of a rapidly enlarging, stony-hard, fixed thyroid mass causing severe stridor and dysphagia. Core biopsy shows pleomorphic giant and spindle cells with high mitoses. What is the prognosis?
A. &gt;95% 10-year survival
B. Excellent prognosis with radioiodine alone
C. Extremely poor (&lt;6 months median survival)
D. Complete cure after simple cyst aspiration
E. Complete resolution with oral Levothyroxine</t>
        </is>
      </c>
      <c r="C17" s="11" t="n"/>
      <c r="D17" s="11" t="inlineStr">
        <is>
          <t>C</t>
        </is>
      </c>
      <c r="E17" s="11">
        <f>IF(C17="","",IF(C17=D17,"CORRECT","INCORRECT"))</f>
        <v/>
      </c>
      <c r="F17" s="10" t="inlineStr">
        <is>
          <t>Anaplastic Thyroid Carcinoma is one of the most lethal malignancies in medicine, presenting as a rapidly invasive fixed neck mass in the elderly with a median survival &lt;6 months.</t>
        </is>
      </c>
    </row>
    <row r="18" ht="110" customHeight="1">
      <c r="A18" s="9" t="n">
        <v>15</v>
      </c>
      <c r="B18" s="10" t="inlineStr">
        <is>
          <t>A 50-year-old patient presents with recurrent nephrolithiasis, bone pain, and serum calcium of 3.1 mmol/L (elevated). Serum Parathyroid Hormone (PTH) is markedly elevated, and serum Phosphate is low. What is the most common cause?
A. Parathyroid Carcinoma
B. Solitary Parathyroid Adenoma
C. Chronic Kidney Disease secondary hyperparathyroidism
D. Vitamin D toxicity
E. Sarcoidosis</t>
        </is>
      </c>
      <c r="C18" s="11" t="n"/>
      <c r="D18" s="11" t="inlineStr">
        <is>
          <t>B</t>
        </is>
      </c>
      <c r="E18" s="11">
        <f>IF(C18="","",IF(C18=D18,"CORRECT","INCORRECT"))</f>
        <v/>
      </c>
      <c r="F18" s="10" t="inlineStr">
        <is>
          <t>Solitary Parathyroid Adenoma accounts for ~85% of cases of Primary Hyperparathyroidism (elevated Ca2+ with elevated PTH).</t>
        </is>
      </c>
    </row>
    <row r="19" ht="110" customHeight="1">
      <c r="A19" s="9" t="n">
        <v>16</v>
      </c>
      <c r="B19" s="10" t="inlineStr">
        <is>
          <t>Following a total thyroidectomy for a large multinodular goitre, a patient develops muscle cramps, tingling in her fingers, and a positive Chvostek's sign on post-op day 1. What is the mechanism?
A. Accidental resection or ischemia of parathyroid glands causing acute hypocalcemia
B. Hyperkalemia secondary to acute renal failure
C. Thyroid storm secondary to excess T4 release
D. Tracheomalacia with tracheal collapse
E. Recurrent laryngeal nerve paralysis</t>
        </is>
      </c>
      <c r="C19" s="11" t="n"/>
      <c r="D19" s="11" t="inlineStr">
        <is>
          <t>A</t>
        </is>
      </c>
      <c r="E19" s="11">
        <f>IF(C19="","",IF(C19=D19,"CORRECT","INCORRECT"))</f>
        <v/>
      </c>
      <c r="F19" s="10" t="inlineStr">
        <is>
          <t>Transient or permanent hypoparathyroidism from devascularization/resection of parathyroid glands during total thyroidectomy causes acute hypocalcemia (tetany, Trousseau/Chvostek signs).</t>
        </is>
      </c>
    </row>
    <row r="20" ht="110" customHeight="1">
      <c r="A20" s="9" t="n">
        <v>17</v>
      </c>
      <c r="B20" s="10" t="inlineStr">
        <is>
          <t>A patient undergoing thyroidectomy develops sudden postoperative hoarseness and a weak, breathy voice. Injury to which nerve is responsible?
A. Unilateral Recurrent Laryngeal Nerve
B. Bilateral Recurrent Laryngeal Nerve
C. Glossopharyngeal Nerve
D. Hypoglossal Nerve
E. Cervical Sympathetic Trunk</t>
        </is>
      </c>
      <c r="C20" s="11" t="n"/>
      <c r="D20" s="11" t="inlineStr">
        <is>
          <t>A</t>
        </is>
      </c>
      <c r="E20" s="11">
        <f>IF(C20="","",IF(C20=D20,"CORRECT","INCORRECT"))</f>
        <v/>
      </c>
      <c r="F20" s="10" t="inlineStr">
        <is>
          <t>Unilateral Recurrent Laryngeal Nerve (RLN) injury causes vocal cord paralysis in the paramedian position, presenting as hoarseness and breathy voice.</t>
        </is>
      </c>
    </row>
    <row r="21" ht="110" customHeight="1">
      <c r="A21" s="9" t="n">
        <v>18</v>
      </c>
      <c r="B21" s="10" t="inlineStr">
        <is>
          <t>In the immediate recovery unit following total thyroidectomy, a patient suddenly develops severe dyspnea, stridor, and a rapidly expanding tense neck swelling. What is the immediate life-saving intervention?
A. Immediate bedside evacuation of the wound hematoma by reopening skin sutures
B. IV Furosemide administration
C. Immediate emergency tracheostomy in the ward
D. High-dose IV Hydrocortisone
E. Endoscopic esophageal dilatation</t>
        </is>
      </c>
      <c r="C21" s="11" t="n"/>
      <c r="D21" s="11" t="inlineStr">
        <is>
          <t>A</t>
        </is>
      </c>
      <c r="E21" s="11">
        <f>IF(C21="","",IF(C21=D21,"CORRECT","INCORRECT"))</f>
        <v/>
      </c>
      <c r="F21" s="10" t="inlineStr">
        <is>
          <t>Tense tension hematoma in the neck compresses the trachea/venous drainage. The immediate bedside intervention is to remove skin clips/sutures to evacuate blood and relieve compression.</t>
        </is>
      </c>
    </row>
    <row r="22" ht="110" customHeight="1">
      <c r="A22" s="9" t="n">
        <v>19</v>
      </c>
      <c r="B22" s="10" t="inlineStr">
        <is>
          <t>Which anatomical structure separates the retromammary space from the deep fascia of the pectoralis major muscle?
A. Deep pectoralis fascia
B. Clavipectoral fascia
C. Superficial layer of deep cervical fascia
D. Suspensory Ligaments of Cooper
E. Pretracheal fascia</t>
        </is>
      </c>
      <c r="C22" s="11" t="n"/>
      <c r="D22" s="11" t="inlineStr">
        <is>
          <t>A</t>
        </is>
      </c>
      <c r="E22" s="11">
        <f>IF(C22="","",IF(C22=D22,"CORRECT","INCORRECT"))</f>
        <v/>
      </c>
      <c r="F22" s="10" t="inlineStr">
        <is>
          <t>The retromammary space is a loose areolar plane located between the posterior breast capsule and the deep fascia covering the pectoralis major muscle.</t>
        </is>
      </c>
    </row>
    <row r="23" ht="110" customHeight="1">
      <c r="A23" s="9" t="n">
        <v>20</v>
      </c>
      <c r="B23" s="10" t="inlineStr">
        <is>
          <t>A 55-year-old female presents with eczema-like scaling, ulceration, and crusting of her right nipple-areolar complex. Nipple biopsy reveals large intraepidermal cells with clear pale cytoplasm (Paget cells). What underlying lesion is almost universally present?
A. Underlying Ductal Carcinoma (DCIS or Invasive Ductal Carcinoma)
B. Benign fibroadenoma
C. Fat necrosis
D. Acute mastitis
E. Branchial cleft cyst</t>
        </is>
      </c>
      <c r="C23" s="11" t="n"/>
      <c r="D23" s="11" t="inlineStr">
        <is>
          <t>A</t>
        </is>
      </c>
      <c r="E23" s="11">
        <f>IF(C23="","",IF(C23=D23,"CORRECT","INCORRECT"))</f>
        <v/>
      </c>
      <c r="F23" s="10" t="inlineStr">
        <is>
          <t>Paget's disease of the nipple represents malignant ductal cells extending into the nipple epidermis and is associated with underlying DCIS or invasive ductal carcinoma in &gt;95% of cases.</t>
        </is>
      </c>
    </row>
    <row r="24" ht="110" customHeight="1">
      <c r="A24" s="9" t="n">
        <v>21</v>
      </c>
      <c r="B24" s="10" t="inlineStr">
        <is>
          <t>A 45-year-old woman with a history of trauma to her left breast 2 weeks ago presents with a hard, irregular breast lump with skin tethering. Core biopsy shows lipid-laden macrophages, multinucleated giant cells, and fat necrosis. What is the management?
A. Reassurance and conservative management
B. Radical Mastectomy
C. Axillary Node Dissection
D. Oral Tamoxifen
E. Radiotherapy</t>
        </is>
      </c>
      <c r="C24" s="11" t="n"/>
      <c r="D24" s="11" t="inlineStr">
        <is>
          <t>A</t>
        </is>
      </c>
      <c r="E24" s="11">
        <f>IF(C24="","",IF(C24=D24,"CORRECT","INCORRECT"))</f>
        <v/>
      </c>
      <c r="F24" s="10" t="inlineStr">
        <is>
          <t>Traumatic Fat Necrosis mimics breast cancer clinically and radiologically, but histological confirmation of fat necrosis warrants simple reassurance as it resolves spontaneously.</t>
        </is>
      </c>
    </row>
    <row r="25" ht="110" customHeight="1">
      <c r="A25" s="9" t="n">
        <v>22</v>
      </c>
      <c r="B25" s="10" t="inlineStr">
        <is>
          <t>Which serum biomarker is routinely measured post-operatively in patients treated for Follicular Thyroid Carcinoma to monitor for distant disease recurrence?
A. Thyroglobulin
B. Alpha-Fetoprotein
C. CA 19-9
D. Carcinoembryonic Antigen (CEA)
E. Beta-hCG</t>
        </is>
      </c>
      <c r="C25" s="11" t="n"/>
      <c r="D25" s="11" t="inlineStr">
        <is>
          <t>A</t>
        </is>
      </c>
      <c r="E25" s="11">
        <f>IF(C25="","",IF(C25=D25,"CORRECT","INCORRECT"))</f>
        <v/>
      </c>
      <c r="F25" s="10" t="inlineStr">
        <is>
          <t>Serum Thyroglobulin is produced exclusively by thyroid follicular cells. After total thyroidectomy, detectable or rising thyroglobulin indicates recurrent or metastatic disease.</t>
        </is>
      </c>
    </row>
    <row r="26" ht="110" customHeight="1">
      <c r="A26" s="9" t="n">
        <v>23</v>
      </c>
      <c r="B26" s="10" t="inlineStr">
        <is>
          <t>A 38-year-old female presents with a diffuse, smooth, non-tender enlargement of the thyroid gland. Serum TSH is elevated, T3/T4 are low, and Anti-Thyroid Peroxidase (Anti-TPO) antibodies are strongly positive. What is the diagnosis?
A. Hashimoto's Thyroiditis
B. Graves' Disease
C. De Quervain's Subacute Thyroiditis
D. Toxic Multinodular Goitre
E. Anaplastic Carcinoma</t>
        </is>
      </c>
      <c r="C26" s="11" t="n"/>
      <c r="D26" s="11" t="inlineStr">
        <is>
          <t>A</t>
        </is>
      </c>
      <c r="E26" s="11">
        <f>IF(C26="","",IF(C26=D26,"CORRECT","INCORRECT"))</f>
        <v/>
      </c>
      <c r="F26" s="10" t="inlineStr">
        <is>
          <t>Hashimoto's Thyroiditis is an autoimmune condition causing hypothyroid goitre with strongly positive Anti-TPO and Anti-thyroglobulin antibodies.</t>
        </is>
      </c>
    </row>
    <row r="27" ht="110" customHeight="1">
      <c r="A27" s="9" t="n">
        <v>24</v>
      </c>
      <c r="B27" s="10" t="inlineStr">
        <is>
          <t>In a patient diagnosed with Graves' Disease who fails antithyroid medical therapy (Carbimazole) and undergoes Total Thyroidectomy, what is the primary post-operative medical requirement for life?
A. Lifelong oral Levothyroxine replacement
B. Lifelong oral Carbimazole
C. Lifelong IV Hydrocortisone
D. Lifelong Warfarin anticoagulation
E. Lifelong Methotrexate</t>
        </is>
      </c>
      <c r="C27" s="11" t="n"/>
      <c r="D27" s="11" t="inlineStr">
        <is>
          <t>A</t>
        </is>
      </c>
      <c r="E27" s="11">
        <f>IF(C27="","",IF(C27=D27,"CORRECT","INCORRECT"))</f>
        <v/>
      </c>
      <c r="F27" s="10" t="inlineStr">
        <is>
          <t>Total thyroidectomy results in complete surgical hypothyroidism, requiring lifelong daily oral Levothyroxine (T4) hormone replacement.</t>
        </is>
      </c>
    </row>
    <row r="28" ht="110" customHeight="1">
      <c r="A28" s="9" t="n">
        <v>25</v>
      </c>
      <c r="B28" s="10" t="inlineStr">
        <is>
          <t>What is the primary lymphatic drainage destination for tumors located in the upper outer quadrant of the breast?
A. Axillary lymph nodes (Level I, II, III)
B. Internal mammary lymph nodes
C. Contralateral axillary nodes
D. Inguinal lymph nodes
E. Deep cervical nodes</t>
        </is>
      </c>
      <c r="C28" s="11" t="n"/>
      <c r="D28" s="11" t="inlineStr">
        <is>
          <t>A</t>
        </is>
      </c>
      <c r="E28" s="11">
        <f>IF(C28="","",IF(C28=D28,"CORRECT","INCORRECT"))</f>
        <v/>
      </c>
      <c r="F28" s="10" t="inlineStr">
        <is>
          <t>Over 75% of breast lymphatic drainage (especially from the upper outer quadrant) travels to the ipsilateral axillary lymph node chain.</t>
        </is>
      </c>
    </row>
    <row r="29" ht="110" customHeight="1">
      <c r="A29" s="9" t="n">
        <v>26</v>
      </c>
      <c r="B29" s="10" t="inlineStr">
        <is>
          <t>A 30-year-old female presents with cyclical mastalgia (breast pain) that worsens during the luteal phase of her menstrual cycle. Breast examination shows bilateral diffuse nodular irregularity without a discrete mass. What is the diagnosis?
A. Fibrocystic Breast Changes (ANDI)
B. Invasive Lobular Carcinoma
C. Inflammatory Breast Cancer
D. Breast Abscess
E. Phylloides tumor</t>
        </is>
      </c>
      <c r="C29" s="11" t="n"/>
      <c r="D29" s="11" t="inlineStr">
        <is>
          <t>A</t>
        </is>
      </c>
      <c r="E29" s="11">
        <f>IF(C29="","",IF(C29=D29,"CORRECT","INCORRECT"))</f>
        <v/>
      </c>
      <c r="F29" s="10" t="inlineStr">
        <is>
          <t>Cyclical mastalgia associated with diffuse nodular breast irregularity in premenopausal females is typical of benign fibrocystic changes (ANDI).</t>
        </is>
      </c>
    </row>
    <row r="30" ht="110" customHeight="1">
      <c r="A30" s="9" t="n">
        <v>27</v>
      </c>
      <c r="B30" s="10" t="inlineStr">
        <is>
          <t>During axillary lymph node dissection, accidental transection of the Long Thoracic Nerve of Bell results in which classic physical sign?
A. Winged Scapula
B. Wrist drop
C. Claw hand
D. Ape hand
E. Foot drop</t>
        </is>
      </c>
      <c r="C30" s="11" t="n"/>
      <c r="D30" s="11" t="inlineStr">
        <is>
          <t>A</t>
        </is>
      </c>
      <c r="E30" s="11">
        <f>IF(C30="","",IF(C30=D30,"CORRECT","INCORRECT"))</f>
        <v/>
      </c>
      <c r="F30" s="10" t="inlineStr">
        <is>
          <t>The Long Thoracic Nerve innervates the Serratus Anterior muscle. Injury causes paralysis of serratus anterior, resulting in prominent 'winged scapula'.</t>
        </is>
      </c>
    </row>
    <row r="31" ht="110" customHeight="1">
      <c r="A31" s="9" t="n">
        <v>28</v>
      </c>
      <c r="B31" s="10" t="inlineStr">
        <is>
          <t>During axillary lymph node dissection, injury to the Thoracodorsal Nerve causes weakness in which shoulder movement due to paralysis of Latissimus Dorsi?
A. Shoulder adduction, extension, and internal rotation
B. Shoulder abduction above 90 degrees
C. Forearm supination
D. Wrist extension
E. Finger flexion</t>
        </is>
      </c>
      <c r="C31" s="11" t="n"/>
      <c r="D31" s="11" t="inlineStr">
        <is>
          <t>A</t>
        </is>
      </c>
      <c r="E31" s="11">
        <f>IF(C31="","",IF(C31=D31,"CORRECT","INCORRECT"))</f>
        <v/>
      </c>
      <c r="F31" s="10" t="inlineStr">
        <is>
          <t>Thoracodorsal nerve innervates Latissimus Dorsi ('extensor, adductor, and internal rotator' of the humerus).</t>
        </is>
      </c>
    </row>
    <row r="32" ht="110" customHeight="1">
      <c r="A32" s="9" t="n">
        <v>29</v>
      </c>
      <c r="B32" s="10" t="inlineStr">
        <is>
          <t>A 50-year-old female presents with a solitary 1.5 cm cold thyroid nodule on radioisotope scan. FNAC reveals sheets of cells with amyloid deposits that stain red with Congo red and exhibit apple-green birefringence under polarized light. What is the diagnosis?
A. Medullary Thyroid Carcinoma
B. Papillary Thyroid Carcinoma
C. Follicular Adenoma
D. Anaplastic Carcinoma
E. Subacute Thyroiditis</t>
        </is>
      </c>
      <c r="C32" s="11" t="n"/>
      <c r="D32" s="11" t="inlineStr">
        <is>
          <t>A</t>
        </is>
      </c>
      <c r="E32" s="11">
        <f>IF(C32="","",IF(C32=D32,"CORRECT","INCORRECT"))</f>
        <v/>
      </c>
      <c r="F32" s="10" t="inlineStr">
        <is>
          <t>Amyloid stroma staining positive with Congo red and showing apple-green birefringence under polarized light is pathognomonic for Medullary Thyroid Carcinoma.</t>
        </is>
      </c>
    </row>
    <row r="33" ht="110" customHeight="1">
      <c r="A33" s="9" t="n">
        <v>30</v>
      </c>
      <c r="B33" s="10" t="inlineStr">
        <is>
          <t>What is the landmark used to define Level I, Level II, and Level III axillary lymph nodes in breast cancer surgery?
A. Pectoralis Minor muscle
B. Pectoralis Major muscle
C. Clavicle
D. Latissimus Dorsi muscle
E. Subclavius muscle</t>
        </is>
      </c>
      <c r="C33" s="11" t="n"/>
      <c r="D33" s="11" t="inlineStr">
        <is>
          <t>A</t>
        </is>
      </c>
      <c r="E33" s="11">
        <f>IF(C33="","",IF(C33=D33,"CORRECT","INCORRECT"))</f>
        <v/>
      </c>
      <c r="F33" s="10" t="inlineStr">
        <is>
          <t>Axillary node levels are defined relative to the Pectoralis Minor muscle: Level I (lateral/inferior to pec minor), Level II (deep to pec minor), Level III (medial/superior to pec minor).</t>
        </is>
      </c>
    </row>
  </sheetData>
  <dataValidations count="1">
    <dataValidation sqref="C4 C5 C6 C7 C8 C9 C10 C11 C12 C13 C14 C15 C16 C17 C18 C19 C20 C21 C22 C23 C24 C25 C26 C27 C28 C29 C30 C31 C32 C33"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showGridLines="1" workbookViewId="0">
      <selection activeCell="A1" sqref="A1"/>
    </sheetView>
  </sheetViews>
  <sheetFormatPr baseColWidth="8" defaultRowHeight="15"/>
  <cols>
    <col width="8" customWidth="1" min="1" max="1"/>
    <col width="16" customWidth="1" min="2" max="2"/>
    <col width="75" customWidth="1" min="3" max="3"/>
  </cols>
  <sheetData>
    <row r="1" ht="28" customHeight="1">
      <c r="A1" s="12" t="inlineStr">
        <is>
          <t>Q#</t>
        </is>
      </c>
      <c r="B1" s="12" t="inlineStr">
        <is>
          <t>Correct Answer</t>
        </is>
      </c>
      <c r="C1" s="12" t="inlineStr">
        <is>
          <t>High-Yield Clinical Rationale</t>
        </is>
      </c>
    </row>
    <row r="2">
      <c r="A2" s="9" t="n">
        <v>1</v>
      </c>
      <c r="B2" s="9" t="inlineStr">
        <is>
          <t>B</t>
        </is>
      </c>
      <c r="C2" s="10" t="inlineStr">
        <is>
          <t>Fibroadenoma ('breast mouse') in a young female &lt;35 yrs with benign triple assessment features (&lt;3 cm, asymptomatic) is managed conservatively with reassurance.</t>
        </is>
      </c>
    </row>
    <row r="3">
      <c r="A3" s="9" t="n">
        <v>2</v>
      </c>
      <c r="B3" s="9" t="inlineStr">
        <is>
          <t>A</t>
        </is>
      </c>
      <c r="C3" s="10" t="inlineStr">
        <is>
          <t>Phyllodes tumors require Wide Local Excision with clear margins (≥1 cm) or total mastectomy if large. Axillary dissection is NOT required as metastasis occurs hematogenously, not lymphatically.</t>
        </is>
      </c>
    </row>
    <row r="4">
      <c r="A4" s="9" t="n">
        <v>3</v>
      </c>
      <c r="B4" s="9" t="inlineStr">
        <is>
          <t>B</t>
        </is>
      </c>
      <c r="C4" s="10" t="inlineStr">
        <is>
          <t>DCIS is a non-invasive neoplastic proliferation of ductal epithelial cells that does not breach the epithelial basement membrane.</t>
        </is>
      </c>
    </row>
    <row r="5">
      <c r="A5" s="9" t="n">
        <v>4</v>
      </c>
      <c r="B5" s="9" t="inlineStr">
        <is>
          <t>B</t>
        </is>
      </c>
      <c r="C5" s="10" t="inlineStr">
        <is>
          <t>SLNB is the gold standard for staging the clinically node-negative (N0) axilla in invasive breast cancer, accurately predicting nodal status while avoiding ALND morbidity.</t>
        </is>
      </c>
    </row>
    <row r="6">
      <c r="A6" s="9" t="n">
        <v>5</v>
      </c>
      <c r="B6" s="9" t="inlineStr">
        <is>
          <t>A</t>
        </is>
      </c>
      <c r="C6" s="10" t="inlineStr">
        <is>
          <t>Intraductal Papilloma is the single most common benign cause of spontaneous, bloody or serosanguinous single-duct nipple discharge.</t>
        </is>
      </c>
    </row>
    <row r="7">
      <c r="A7" s="9" t="n">
        <v>6</v>
      </c>
      <c r="B7" s="9" t="inlineStr">
        <is>
          <t>B</t>
        </is>
      </c>
      <c r="C7" s="10" t="inlineStr">
        <is>
          <t>USG-guided needle aspiration combined with targeted antibiotics (Flucloxacillin) is the first-line treatment for lactational breast abscesses, avoiding open scar formation.</t>
        </is>
      </c>
    </row>
    <row r="8">
      <c r="A8" s="9" t="n">
        <v>7</v>
      </c>
      <c r="B8" s="9" t="inlineStr">
        <is>
          <t>B</t>
        </is>
      </c>
      <c r="C8" s="10" t="inlineStr">
        <is>
          <t>Aromatase Inhibitors (Letrozole, Anastrozole) are superior first-line endocrine agents in postmenopausal females with ER+ breast cancer. Tamoxifen is preferred in premenopausal females.</t>
        </is>
      </c>
    </row>
    <row r="9">
      <c r="A9" s="9" t="n">
        <v>8</v>
      </c>
      <c r="B9" s="9" t="inlineStr">
        <is>
          <t>B</t>
        </is>
      </c>
      <c r="C9" s="10" t="inlineStr">
        <is>
          <t>Thyroglossal duct cyst moves on tongue protrusion. The Sistrunk procedure involves excision of the cyst, entire embryological tract, and central core of the hyoid bone to prevent recurrence.</t>
        </is>
      </c>
    </row>
    <row r="10">
      <c r="A10" s="9" t="n">
        <v>9</v>
      </c>
      <c r="B10" s="9" t="inlineStr">
        <is>
          <t>B</t>
        </is>
      </c>
      <c r="C10" s="10" t="inlineStr">
        <is>
          <t>Branchial cyst is a congenital 2nd branchial cleft remnant located along the anterior border of the sternocleidomastoid. FNAC classically shows cholesterol crystals.</t>
        </is>
      </c>
    </row>
    <row r="11">
      <c r="A11" s="9" t="n">
        <v>10</v>
      </c>
      <c r="B11" s="9" t="inlineStr">
        <is>
          <t>B</t>
        </is>
      </c>
      <c r="C11" s="10" t="inlineStr">
        <is>
          <t>Orphan Annie eye nuclei, nuclear grooves, and psammoma bodies on FNAC are pathognomonic microscopic features of Papillary Thyroid Carcinoma.</t>
        </is>
      </c>
    </row>
    <row r="12">
      <c r="A12" s="9" t="n">
        <v>11</v>
      </c>
      <c r="B12" s="9" t="inlineStr">
        <is>
          <t>B</t>
        </is>
      </c>
      <c r="C12" s="10" t="inlineStr">
        <is>
          <t>Follicular adenoma and carcinoma look cytologically identical on FNAC. Histological proof of capsular or vascular invasion on excisional specimen is mandatory to diagnose carcinoma.</t>
        </is>
      </c>
    </row>
    <row r="13">
      <c r="A13" s="9" t="n">
        <v>12</v>
      </c>
      <c r="B13" s="9" t="inlineStr">
        <is>
          <t>B</t>
        </is>
      </c>
      <c r="C13" s="10" t="inlineStr">
        <is>
          <t>Medullary Thyroid Carcinoma occurs in MEN 2A and 2B. Co-existing Pheochromocytoma MUST be ruled out (via plasma free metanephrines) and resected first to prevent intraoperative hypertensive crisis.</t>
        </is>
      </c>
    </row>
    <row r="14">
      <c r="A14" s="9" t="n">
        <v>13</v>
      </c>
      <c r="B14" s="9" t="inlineStr">
        <is>
          <t>C</t>
        </is>
      </c>
      <c r="C14" s="10" t="inlineStr">
        <is>
          <t>Medullary Thyroid Carcinoma arises from C-cells (parafollicular cells) which secrete Calcitonin. Serum Calcitonin is the definitive tumor marker.</t>
        </is>
      </c>
    </row>
    <row r="15">
      <c r="A15" s="9" t="n">
        <v>14</v>
      </c>
      <c r="B15" s="9" t="inlineStr">
        <is>
          <t>C</t>
        </is>
      </c>
      <c r="C15" s="10" t="inlineStr">
        <is>
          <t>Anaplastic Thyroid Carcinoma is one of the most lethal malignancies in medicine, presenting as a rapidly invasive fixed neck mass in the elderly with a median survival &lt;6 months.</t>
        </is>
      </c>
    </row>
    <row r="16">
      <c r="A16" s="9" t="n">
        <v>15</v>
      </c>
      <c r="B16" s="9" t="inlineStr">
        <is>
          <t>B</t>
        </is>
      </c>
      <c r="C16" s="10" t="inlineStr">
        <is>
          <t>Solitary Parathyroid Adenoma accounts for ~85% of cases of Primary Hyperparathyroidism (elevated Ca2+ with elevated PTH).</t>
        </is>
      </c>
    </row>
    <row r="17">
      <c r="A17" s="9" t="n">
        <v>16</v>
      </c>
      <c r="B17" s="9" t="inlineStr">
        <is>
          <t>A</t>
        </is>
      </c>
      <c r="C17" s="10" t="inlineStr">
        <is>
          <t>Transient or permanent hypoparathyroidism from devascularization/resection of parathyroid glands during total thyroidectomy causes acute hypocalcemia (tetany, Trousseau/Chvostek signs).</t>
        </is>
      </c>
    </row>
    <row r="18">
      <c r="A18" s="9" t="n">
        <v>17</v>
      </c>
      <c r="B18" s="9" t="inlineStr">
        <is>
          <t>A</t>
        </is>
      </c>
      <c r="C18" s="10" t="inlineStr">
        <is>
          <t>Unilateral Recurrent Laryngeal Nerve (RLN) injury causes vocal cord paralysis in the paramedian position, presenting as hoarseness and breathy voice.</t>
        </is>
      </c>
    </row>
    <row r="19">
      <c r="A19" s="9" t="n">
        <v>18</v>
      </c>
      <c r="B19" s="9" t="inlineStr">
        <is>
          <t>A</t>
        </is>
      </c>
      <c r="C19" s="10" t="inlineStr">
        <is>
          <t>Tense tension hematoma in the neck compresses the trachea/venous drainage. The immediate bedside intervention is to remove skin clips/sutures to evacuate blood and relieve compression.</t>
        </is>
      </c>
    </row>
    <row r="20">
      <c r="A20" s="9" t="n">
        <v>19</v>
      </c>
      <c r="B20" s="9" t="inlineStr">
        <is>
          <t>A</t>
        </is>
      </c>
      <c r="C20" s="10" t="inlineStr">
        <is>
          <t>The retromammary space is a loose areolar plane located between the posterior breast capsule and the deep fascia covering the pectoralis major muscle.</t>
        </is>
      </c>
    </row>
    <row r="21">
      <c r="A21" s="9" t="n">
        <v>20</v>
      </c>
      <c r="B21" s="9" t="inlineStr">
        <is>
          <t>A</t>
        </is>
      </c>
      <c r="C21" s="10" t="inlineStr">
        <is>
          <t>Paget's disease of the nipple represents malignant ductal cells extending into the nipple epidermis and is associated with underlying DCIS or invasive ductal carcinoma in &gt;95% of cases.</t>
        </is>
      </c>
    </row>
    <row r="22">
      <c r="A22" s="9" t="n">
        <v>21</v>
      </c>
      <c r="B22" s="9" t="inlineStr">
        <is>
          <t>A</t>
        </is>
      </c>
      <c r="C22" s="10" t="inlineStr">
        <is>
          <t>Traumatic Fat Necrosis mimics breast cancer clinically and radiologically, but histological confirmation of fat necrosis warrants simple reassurance as it resolves spontaneously.</t>
        </is>
      </c>
    </row>
    <row r="23">
      <c r="A23" s="9" t="n">
        <v>22</v>
      </c>
      <c r="B23" s="9" t="inlineStr">
        <is>
          <t>A</t>
        </is>
      </c>
      <c r="C23" s="10" t="inlineStr">
        <is>
          <t>Serum Thyroglobulin is produced exclusively by thyroid follicular cells. After total thyroidectomy, detectable or rising thyroglobulin indicates recurrent or metastatic disease.</t>
        </is>
      </c>
    </row>
    <row r="24">
      <c r="A24" s="9" t="n">
        <v>23</v>
      </c>
      <c r="B24" s="9" t="inlineStr">
        <is>
          <t>A</t>
        </is>
      </c>
      <c r="C24" s="10" t="inlineStr">
        <is>
          <t>Hashimoto's Thyroiditis is an autoimmune condition causing hypothyroid goitre with strongly positive Anti-TPO and Anti-thyroglobulin antibodies.</t>
        </is>
      </c>
    </row>
    <row r="25">
      <c r="A25" s="9" t="n">
        <v>24</v>
      </c>
      <c r="B25" s="9" t="inlineStr">
        <is>
          <t>A</t>
        </is>
      </c>
      <c r="C25" s="10" t="inlineStr">
        <is>
          <t>Total thyroidectomy results in complete surgical hypothyroidism, requiring lifelong daily oral Levothyroxine (T4) hormone replacement.</t>
        </is>
      </c>
    </row>
    <row r="26">
      <c r="A26" s="9" t="n">
        <v>25</v>
      </c>
      <c r="B26" s="9" t="inlineStr">
        <is>
          <t>A</t>
        </is>
      </c>
      <c r="C26" s="10" t="inlineStr">
        <is>
          <t>Over 75% of breast lymphatic drainage (especially from the upper outer quadrant) travels to the ipsilateral axillary lymph node chain.</t>
        </is>
      </c>
    </row>
    <row r="27">
      <c r="A27" s="9" t="n">
        <v>26</v>
      </c>
      <c r="B27" s="9" t="inlineStr">
        <is>
          <t>A</t>
        </is>
      </c>
      <c r="C27" s="10" t="inlineStr">
        <is>
          <t>Cyclical mastalgia associated with diffuse nodular breast irregularity in premenopausal females is typical of benign fibrocystic changes (ANDI).</t>
        </is>
      </c>
    </row>
    <row r="28">
      <c r="A28" s="9" t="n">
        <v>27</v>
      </c>
      <c r="B28" s="9" t="inlineStr">
        <is>
          <t>A</t>
        </is>
      </c>
      <c r="C28" s="10" t="inlineStr">
        <is>
          <t>The Long Thoracic Nerve innervates the Serratus Anterior muscle. Injury causes paralysis of serratus anterior, resulting in prominent 'winged scapula'.</t>
        </is>
      </c>
    </row>
    <row r="29">
      <c r="A29" s="9" t="n">
        <v>28</v>
      </c>
      <c r="B29" s="9" t="inlineStr">
        <is>
          <t>A</t>
        </is>
      </c>
      <c r="C29" s="10" t="inlineStr">
        <is>
          <t>Thoracodorsal nerve innervates Latissimus Dorsi ('extensor, adductor, and internal rotator' of the humerus).</t>
        </is>
      </c>
    </row>
    <row r="30">
      <c r="A30" s="9" t="n">
        <v>29</v>
      </c>
      <c r="B30" s="9" t="inlineStr">
        <is>
          <t>A</t>
        </is>
      </c>
      <c r="C30" s="10" t="inlineStr">
        <is>
          <t>Amyloid stroma staining positive with Congo red and showing apple-green birefringence under polarized light is pathognomonic for Medullary Thyroid Carcinoma.</t>
        </is>
      </c>
    </row>
    <row r="31">
      <c r="A31" s="9" t="n">
        <v>30</v>
      </c>
      <c r="B31" s="9" t="inlineStr">
        <is>
          <t>A</t>
        </is>
      </c>
      <c r="C31" s="10" t="inlineStr">
        <is>
          <t>Axillary node levels are defined relative to the Pectoralis Minor muscle: Level I (lateral/inferior to pec minor), Level II (deep to pec minor), Level III (medial/superior to pec minor).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2026-10-24T15:29:27Z</dcterms:created>
  <dcterms:modified xmlns:dcterms="http://purl.org/dc/terms/" xmlns:xsi="http://www.w3.org/2001/XMLSchema-instance" xsi:type="dcterms:W3CDTF">2026-10-24T15:29:28Z</dcterms:modified>
</cp:coreProperties>
</file>